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aun\Desktop\user_notes\dataSort\"/>
    </mc:Choice>
  </mc:AlternateContent>
  <xr:revisionPtr revIDLastSave="0" documentId="13_ncr:1_{6594C629-2F71-43E0-B62E-E0B3D6F8901C}" xr6:coauthVersionLast="47" xr6:coauthVersionMax="47" xr10:uidLastSave="{00000000-0000-0000-0000-000000000000}"/>
  <bookViews>
    <workbookView minimized="1" xWindow="7110" yWindow="352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32" i="1" l="1"/>
  <c r="BY32" i="1"/>
  <c r="BX32" i="1"/>
  <c r="BW31" i="1"/>
  <c r="BY31" i="1"/>
  <c r="BX31" i="1"/>
  <c r="BW30" i="1"/>
  <c r="BY30" i="1"/>
  <c r="BX30" i="1"/>
  <c r="BY29" i="1"/>
  <c r="BX29" i="1"/>
  <c r="BW29" i="1"/>
  <c r="BY28" i="1"/>
  <c r="BX28" i="1"/>
  <c r="BW28" i="1"/>
  <c r="BY26" i="1"/>
  <c r="BY27" i="1"/>
  <c r="BX26" i="1"/>
  <c r="BX27" i="1"/>
  <c r="BW27" i="1"/>
  <c r="BW26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4" i="1"/>
</calcChain>
</file>

<file path=xl/sharedStrings.xml><?xml version="1.0" encoding="utf-8"?>
<sst xmlns="http://schemas.openxmlformats.org/spreadsheetml/2006/main" count="1143" uniqueCount="329">
  <si>
    <t>participant</t>
  </si>
  <si>
    <t>how would you rate your current knowledge of python programming language?</t>
  </si>
  <si>
    <t>how confident do you feel about writing a simple python program?</t>
  </si>
  <si>
    <t>which python concepts are you familiar with?</t>
  </si>
  <si>
    <t>how comfortable are you with programming logic and problem-solving?</t>
  </si>
  <si>
    <t>does learning more python interest you in the future?</t>
  </si>
  <si>
    <t>are there any additional details you would like to add?</t>
  </si>
  <si>
    <t>do you have and coding experience in any other languages?</t>
  </si>
  <si>
    <t>which symbol is used for single-line commenting in python?</t>
  </si>
  <si>
    <t>what is the correct way to output text to the console in python?</t>
  </si>
  <si>
    <t>how do you create a list in python?</t>
  </si>
  <si>
    <t>what is the correct format for defining a function in python?</t>
  </si>
  <si>
    <t>how do you check if two values are equal in python?</t>
  </si>
  <si>
    <t>what method would you use to add a new element to the end of a list?</t>
  </si>
  <si>
    <t>how do you catch exceptions (errors) in python?</t>
  </si>
  <si>
    <t>how do you create an empty dictionary in python?</t>
  </si>
  <si>
    <t>what is a decorator in python?</t>
  </si>
  <si>
    <t>what is the purpose of the __init__ method in a python class?</t>
  </si>
  <si>
    <t>how would you rate your knowledge of python now?</t>
  </si>
  <si>
    <t>which python concepts do you now feel more comfortable with?</t>
  </si>
  <si>
    <t>how has your confidence with your understanding of python code changed?</t>
  </si>
  <si>
    <t>how engaging did you find learning python through the game?</t>
  </si>
  <si>
    <t>would you recommend this method of learning python to others?</t>
  </si>
  <si>
    <t>please add any thoughts on the game or learning method that the above questions could not cover.</t>
  </si>
  <si>
    <t>in python, which character starts a comment?</t>
  </si>
  <si>
    <t>which option correctly displays the value of variable x on the screen?</t>
  </si>
  <si>
    <t>how do you define a collection of ordered, changeable items in python?</t>
  </si>
  <si>
    <t>what is the correct way to define a function named calculate in python?</t>
  </si>
  <si>
    <t>which operator checks for equality in python?</t>
  </si>
  <si>
    <t>6. which method adds an item at the end of a python list?</t>
  </si>
  <si>
    <t>how do you properly handle errors in python?</t>
  </si>
  <si>
    <t>how do you create an empty key value list in python?</t>
  </si>
  <si>
    <t>what does a python decorator allow you to do?</t>
  </si>
  <si>
    <t>10. what is the role of the __init__ method in a python class?</t>
  </si>
  <si>
    <t>how engaging did you find the learning material?</t>
  </si>
  <si>
    <t>how interesting were the technical concepts presented in the game?</t>
  </si>
  <si>
    <t>how would you rate your confidence with the material after this experience?</t>
  </si>
  <si>
    <t>to what extent did edutopia increase your interest in programming?</t>
  </si>
  <si>
    <t>how motivated were you to continue learning through this method?</t>
  </si>
  <si>
    <t>how did the resource system affect your motivation to continue playing?</t>
  </si>
  <si>
    <t>how effectively did the game help you retain new information?</t>
  </si>
  <si>
    <t>how would you compare this learning method to traditional methods?</t>
  </si>
  <si>
    <t>how well did the question format contribute to your understanding?</t>
  </si>
  <si>
    <t>how appropriate was the level of challenge in supporting your learning?</t>
  </si>
  <si>
    <t>how well did the game balance entertainment and educational value?</t>
  </si>
  <si>
    <t>how intuitive was the game interface and mechanics?</t>
  </si>
  <si>
    <t>how enjoyable was your overall learning experience with edutopia?</t>
  </si>
  <si>
    <t>how likely would you be to recommend this learning approach to others?</t>
  </si>
  <si>
    <t>how likely are you to explore these topics further after this experience?</t>
  </si>
  <si>
    <t>what aspects of edutopia were most effective for your learning?</t>
  </si>
  <si>
    <t>what aspects could be improved to enhance the learning experience?</t>
  </si>
  <si>
    <t>do you have any additional comments or suggestions?</t>
  </si>
  <si>
    <t>game_mode</t>
  </si>
  <si>
    <t>total_tiles_bought</t>
  </si>
  <si>
    <t>healthy_tiles_remaining</t>
  </si>
  <si>
    <t>final_food</t>
  </si>
  <si>
    <t>final_wood</t>
  </si>
  <si>
    <t>final_metal</t>
  </si>
  <si>
    <t>final_tech</t>
  </si>
  <si>
    <t>quiz_total_questions</t>
  </si>
  <si>
    <t>quiz_correct_total</t>
  </si>
  <si>
    <t>quiz_incorrect_total</t>
  </si>
  <si>
    <t>quiz_accuracy_pct</t>
  </si>
  <si>
    <t>avg_question_time_ms</t>
  </si>
  <si>
    <t>user1</t>
  </si>
  <si>
    <t>I have basic knowledge of Python</t>
  </si>
  <si>
    <t>Somewhat confident</t>
  </si>
  <si>
    <t>Functions;Basic Syntax and data types;</t>
  </si>
  <si>
    <t>I can solve simple programming problems</t>
  </si>
  <si>
    <t>Yes I am already learning</t>
  </si>
  <si>
    <t>I have done some online courses with python</t>
  </si>
  <si>
    <t>no</t>
  </si>
  <si>
    <t>#</t>
  </si>
  <si>
    <t>print("Hello")</t>
  </si>
  <si>
    <t>my_list = (1, 2, 3)</t>
  </si>
  <si>
    <t>def myFunction():</t>
  </si>
  <si>
    <t>a == b</t>
  </si>
  <si>
    <t>add()</t>
  </si>
  <si>
    <t>try/catch</t>
  </si>
  <si>
    <t>dict[]</t>
  </si>
  <si>
    <t>A way to modify the behavior of a function</t>
  </si>
  <si>
    <t>It is the constructor method</t>
  </si>
  <si>
    <t>Improved but I would like to learn more</t>
  </si>
  <si>
    <t>Basic syntax and data types;Functions;</t>
  </si>
  <si>
    <t>improved slightly</t>
  </si>
  <si>
    <t>Somewhat engaging</t>
  </si>
  <si>
    <t>Probably yes</t>
  </si>
  <si>
    <t>I liked that the questions gave instant feedback I cold choose when to answer them. I felt the quiz a bit more engaging than the game</t>
  </si>
  <si>
    <t>print(x)</t>
  </si>
  <si>
    <t>A) my_collection = [5, 10, 15]</t>
  </si>
  <si>
    <t>def calculate():</t>
  </si>
  <si>
    <t>my_list.insert(item)</t>
  </si>
  <si>
    <t>try/except</t>
  </si>
  <si>
    <t>new Map()</t>
  </si>
  <si>
    <t>Add functionality to an existing function</t>
  </si>
  <si>
    <t>To initialize object attributes</t>
  </si>
  <si>
    <t>The quiz part was good, I enjoy quick fire questions</t>
  </si>
  <si>
    <t>More stuff to so in the game, it was good but maybe have more things to spend the points on</t>
  </si>
  <si>
    <t>I liked the game overall, the question page is something I would use in future if I was to get back into learning pyhton</t>
  </si>
  <si>
    <t>user2</t>
  </si>
  <si>
    <t>I have no experience with Python </t>
  </si>
  <si>
    <t>Not confident at all</t>
  </si>
  <si>
    <t>Functions;</t>
  </si>
  <si>
    <t>I struggle with programming logic</t>
  </si>
  <si>
    <t>Yes but don't know where to start</t>
  </si>
  <si>
    <t>--</t>
  </si>
  <si>
    <t>console.log("Hello")</t>
  </si>
  <si>
    <t>create myFunction():</t>
  </si>
  <si>
    <t>a equals b</t>
  </si>
  <si>
    <t>insert()</t>
  </si>
  <si>
    <t>dict{}</t>
  </si>
  <si>
    <t>A method to format strings</t>
  </si>
  <si>
    <t>It imports necessary modules</t>
  </si>
  <si>
    <t>Basic syntax and data types;</t>
  </si>
  <si>
    <t>same as before</t>
  </si>
  <si>
    <t>Extremely engaging</t>
  </si>
  <si>
    <t>Definitely yes</t>
  </si>
  <si>
    <t>&gt;</t>
  </si>
  <si>
    <t>show(x)</t>
  </si>
  <si>
    <t>function calculate():</t>
  </si>
  <si>
    <t>{}</t>
  </si>
  <si>
    <t>Create documentation for your code</t>
  </si>
  <si>
    <t xml:space="preserve">i found that following the game helped me take in lots of information </t>
  </si>
  <si>
    <t>nothing</t>
  </si>
  <si>
    <t>user3</t>
  </si>
  <si>
    <t>Basic Syntax and data types;</t>
  </si>
  <si>
    <t>No, I find programming too complex</t>
  </si>
  <si>
    <t>i have never programmed</t>
  </si>
  <si>
    <t>/**/</t>
  </si>
  <si>
    <t>echo("Hello")</t>
  </si>
  <si>
    <t>a = b</t>
  </si>
  <si>
    <t>new Dict()</t>
  </si>
  <si>
    <t>A class that inherits from another class</t>
  </si>
  <si>
    <t>It finalizes the class</t>
  </si>
  <si>
    <t>Slightly improved</t>
  </si>
  <si>
    <t>Quite engaging</t>
  </si>
  <si>
    <t>The referrence sheet helped me remember some of the easy questions</t>
  </si>
  <si>
    <t>=</t>
  </si>
  <si>
    <t>my_list.add(item)</t>
  </si>
  <si>
    <t>the game did make learning more interesting.</t>
  </si>
  <si>
    <t>not sure</t>
  </si>
  <si>
    <t>programming isnt my thing but i think the game would be good in helping me learn better on subjects that interest me.</t>
  </si>
  <si>
    <t>user4</t>
  </si>
  <si>
    <t>A special type of variable</t>
  </si>
  <si>
    <t>It makes the class private</t>
  </si>
  <si>
    <t>I am just unfamiliar with programs to feel I have improved much, I do remember some answers after getting them right the second time being asked</t>
  </si>
  <si>
    <t>B) my_collection = {5, 10, 15}</t>
  </si>
  <si>
    <t>my_list.attach(item)</t>
  </si>
  <si>
    <t>if error: else:</t>
  </si>
  <si>
    <t>Import external libraries</t>
  </si>
  <si>
    <t>The pressure of limited time was something I was always aware of and helped me focus</t>
  </si>
  <si>
    <t>Don't know</t>
  </si>
  <si>
    <t xml:space="preserve">My lack of programming knowledge did not help me, I am not learning it either so although I liked the game the subject was less interesting. </t>
  </si>
  <si>
    <t>user5</t>
  </si>
  <si>
    <t>never programmed</t>
  </si>
  <si>
    <t>//</t>
  </si>
  <si>
    <t>dict()</t>
  </si>
  <si>
    <t>i struggled as i do not know python, I see the value in the game concept though</t>
  </si>
  <si>
    <t>C) my_collection = (5, 10, 15)</t>
  </si>
  <si>
    <t>To inherit from a parent class</t>
  </si>
  <si>
    <t>the game was fun</t>
  </si>
  <si>
    <t>not sure, i think the topic put me off, I dont know programming</t>
  </si>
  <si>
    <t>user6</t>
  </si>
  <si>
    <t>I have a fair understanding of Python</t>
  </si>
  <si>
    <t>Basic Syntax and data types;Functions;</t>
  </si>
  <si>
    <t>I understand basic programming concepts</t>
  </si>
  <si>
    <t>I am learning this language.</t>
  </si>
  <si>
    <t>Just Python</t>
  </si>
  <si>
    <t xml:space="preserve">Good game! I know a fair few of the questions about syntax etc </t>
  </si>
  <si>
    <t>my_list.append(item)</t>
  </si>
  <si>
    <t>catch/throw</t>
  </si>
  <si>
    <t>either of the above</t>
  </si>
  <si>
    <t>The game was good, I like the idea of expanding your tiles and it would be good to ser the game at a more advanced stage</t>
  </si>
  <si>
    <t>More functionality in spending resources</t>
  </si>
  <si>
    <t>No</t>
  </si>
  <si>
    <t>user7</t>
  </si>
  <si>
    <t>I know Java to a reasonable level</t>
  </si>
  <si>
    <t>my_list = [1, 2, 3]</t>
  </si>
  <si>
    <t>Not engaging at all</t>
  </si>
  <si>
    <t>Probably not</t>
  </si>
  <si>
    <t>Seemed a bit repetitive, just question after question, 10 minutes was too long for me</t>
  </si>
  <si>
    <t>I did like that the questions got harder the more I got correct.</t>
  </si>
  <si>
    <t>Do not know</t>
  </si>
  <si>
    <t>user8</t>
  </si>
  <si>
    <t>I dont know anything about programming</t>
  </si>
  <si>
    <t>my_list = &lt;1, 2, 3&gt;</t>
  </si>
  <si>
    <t>function myFunction():</t>
  </si>
  <si>
    <t>My knowledge has not changed</t>
  </si>
  <si>
    <t>I dont know programming</t>
  </si>
  <si>
    <t>The game was ok, took me a bit to understand it</t>
  </si>
  <si>
    <t>I dont know</t>
  </si>
  <si>
    <t>user9</t>
  </si>
  <si>
    <t>Moderately confident</t>
  </si>
  <si>
    <t>Basic Syntax and data types;Functions;Object Oriented Programming;</t>
  </si>
  <si>
    <t>I am a frontend developer</t>
  </si>
  <si>
    <t>yes</t>
  </si>
  <si>
    <t>append()</t>
  </si>
  <si>
    <t>Object Orientated Programming;Advanced python features;</t>
  </si>
  <si>
    <t>Great concept, would like to see this applied real world in industry.</t>
  </si>
  <si>
    <t>Q&amp;A</t>
  </si>
  <si>
    <t>UX</t>
  </si>
  <si>
    <t>user10</t>
  </si>
  <si>
    <t>my_list = {1, 2, 3}</t>
  </si>
  <si>
    <t>display(x)</t>
  </si>
  <si>
    <t>To delete an instance</t>
  </si>
  <si>
    <t>competativeness</t>
  </si>
  <si>
    <t>user11</t>
  </si>
  <si>
    <t>Java, Rust</t>
  </si>
  <si>
    <t>Basic syntax and data types;Functions;Object Orientated Programming;</t>
  </si>
  <si>
    <t>I thought it was great</t>
  </si>
  <si>
    <t>I am competitive so this game is how I like to learn, through doing stuff</t>
  </si>
  <si>
    <t>Some questions could be reworded to be clearer, more options in game to use resources in the future.</t>
  </si>
  <si>
    <t>user12</t>
  </si>
  <si>
    <t>I am a complete novice with absolutely no knowledge, context or experience regarding Python.</t>
  </si>
  <si>
    <t>None at all.</t>
  </si>
  <si>
    <t>Definitely not</t>
  </si>
  <si>
    <t xml:space="preserve">I found it challenging as a complete novice with how similar the answers were. To a user with experience, the subtle differences would likely have kept a player engaged looking for the slight difference an accurate answer has. There were a few questions that, when repeated, I recognised and was confident in answering. The reinforcement of seeing the question and having a correct answer returned was a boost but mostly my lack of any basic fundaments hindered me and made the experience more frustrating. I ended up feeling as though I needed more time with the questions to gain more tokens in the game so my attention was split. </t>
  </si>
  <si>
    <t>Define a new class</t>
  </si>
  <si>
    <t>To make attributes private</t>
  </si>
  <si>
    <t xml:space="preserve">I do think the challenge of turning 'red' tiles back through the necessity of answer game questions was good. </t>
  </si>
  <si>
    <t xml:space="preserve">Again, my user experience was corralled by my lack of knowledge. Had I had any, I'm sure I would have relished the challenge of keeping a healthy tile board. </t>
  </si>
  <si>
    <t>Is there any way to flag the correct answer after an incorrect response so that a mental note can be made for the next occurence?</t>
  </si>
  <si>
    <t>user13</t>
  </si>
  <si>
    <t>I struggled to pay attention to these questions.</t>
  </si>
  <si>
    <t>None, just answering questions was not fun, the time seemed too long for this</t>
  </si>
  <si>
    <t>Dont know</t>
  </si>
  <si>
    <t>user14</t>
  </si>
  <si>
    <t>A bit of java but from years ago</t>
  </si>
  <si>
    <t>Having to earn tech points to fix tiles</t>
  </si>
  <si>
    <t>I cant think of any</t>
  </si>
  <si>
    <t>user15</t>
  </si>
  <si>
    <t>less confident</t>
  </si>
  <si>
    <t>None, without the reference sheet I don't think I would have gotten any correct</t>
  </si>
  <si>
    <t>Playing the game part</t>
  </si>
  <si>
    <t>user16</t>
  </si>
  <si>
    <t>Basic Syntax and data types;Object Oriented Programming;Functions;</t>
  </si>
  <si>
    <t>I have thought about learning programming</t>
  </si>
  <si>
    <t>Java / C++</t>
  </si>
  <si>
    <t xml:space="preserve">Resource management </t>
  </si>
  <si>
    <t>Clearer game instructions prior to starting</t>
  </si>
  <si>
    <t>Nothing.</t>
  </si>
  <si>
    <t>user17</t>
  </si>
  <si>
    <t>The instant feedback on answers allows for quick play</t>
  </si>
  <si>
    <t>More features</t>
  </si>
  <si>
    <t>user18</t>
  </si>
  <si>
    <t>Java, JavaScript, Matlab</t>
  </si>
  <si>
    <t>The game is basic but it made having a reason to answer the questions interesting</t>
  </si>
  <si>
    <t>Having to repair tiles</t>
  </si>
  <si>
    <t>user19</t>
  </si>
  <si>
    <t>Not sure</t>
  </si>
  <si>
    <t>user20</t>
  </si>
  <si>
    <t>user21</t>
  </si>
  <si>
    <t>user22</t>
  </si>
  <si>
    <t>Basic Syntax and data types</t>
  </si>
  <si>
    <t>I have a small amount of java knowledge</t>
  </si>
  <si>
    <t>Basic syntax and data types;Functions</t>
  </si>
  <si>
    <t>==</t>
  </si>
  <si>
    <t>cant think of any</t>
  </si>
  <si>
    <t>I like the game concept, not so much the questions</t>
  </si>
  <si>
    <t>don't know</t>
  </si>
  <si>
    <t>I found it tough to get through</t>
  </si>
  <si>
    <t>Not sure but it felt repetative</t>
  </si>
  <si>
    <t>I have tried to learn through codecademy in the past</t>
  </si>
  <si>
    <t>if/else</t>
  </si>
  <si>
    <t>Basic syntax and data types</t>
  </si>
  <si>
    <t>The questions were daunting, the game was ok though.</t>
  </si>
  <si>
    <t>It got a bit boring to be honest, I struggled to concentrate sometimes</t>
  </si>
  <si>
    <t>Pre Test Data Colour</t>
  </si>
  <si>
    <t>Post Test Data Colour</t>
  </si>
  <si>
    <t>Survey Data Colour</t>
  </si>
  <si>
    <t>Game Metrics</t>
  </si>
  <si>
    <t>Correct Answers</t>
  </si>
  <si>
    <t>Correct answers</t>
  </si>
  <si>
    <t>Pre and post Test Delta</t>
  </si>
  <si>
    <t>Knowledge Level 1-4</t>
  </si>
  <si>
    <t>Confidence 1-4</t>
  </si>
  <si>
    <t>Comfort 1-4</t>
  </si>
  <si>
    <t>Interest 1-4</t>
  </si>
  <si>
    <t>Knowledge 1-4</t>
  </si>
  <si>
    <t>Recommend</t>
  </si>
  <si>
    <t>Pre Test DATA</t>
  </si>
  <si>
    <t>Post Test Data</t>
  </si>
  <si>
    <t>Survery Data</t>
  </si>
  <si>
    <t>Interrest 1-4</t>
  </si>
  <si>
    <t>Knowledge Delta</t>
  </si>
  <si>
    <t>Confidence Delta</t>
  </si>
  <si>
    <t>General Questions</t>
  </si>
  <si>
    <t>Test Questions</t>
  </si>
  <si>
    <t>Motivation</t>
  </si>
  <si>
    <t>Learning experience</t>
  </si>
  <si>
    <t>Level of Challenge</t>
  </si>
  <si>
    <t>Overall Experience</t>
  </si>
  <si>
    <t>Open Questions</t>
  </si>
  <si>
    <t>user23</t>
  </si>
  <si>
    <t>user24</t>
  </si>
  <si>
    <t>user25</t>
  </si>
  <si>
    <t>Very basic java</t>
  </si>
  <si>
    <t>Good game! I enjoyed playing it</t>
  </si>
  <si>
    <t>Maybe if each tile bought had some educational information shown when bought</t>
  </si>
  <si>
    <t>It did not grab my attention to be honest, answering lots of questions was a bit dull</t>
  </si>
  <si>
    <t>Something to break up the questions</t>
  </si>
  <si>
    <t>Not programmed at all</t>
  </si>
  <si>
    <t>try/finally</t>
  </si>
  <si>
    <t>*</t>
  </si>
  <si>
    <t>define calculate():</t>
  </si>
  <si>
    <t>===</t>
  </si>
  <si>
    <t>I found this quite frustrating</t>
  </si>
  <si>
    <t>I didn't think it helped my learning</t>
  </si>
  <si>
    <t>C) my_collection = [5, 10, 15]</t>
  </si>
  <si>
    <t>catch/except</t>
  </si>
  <si>
    <t>user26</t>
  </si>
  <si>
    <t>Improved but I do not wish to learn more</t>
  </si>
  <si>
    <t>The game aspect</t>
  </si>
  <si>
    <t>NA</t>
  </si>
  <si>
    <t>Being a teacher, this could be be a good idea for teenagers to use</t>
  </si>
  <si>
    <t>user27</t>
  </si>
  <si>
    <t>java</t>
  </si>
  <si>
    <t>Good overall, some questions could have been worded better</t>
  </si>
  <si>
    <t>General Learning Content (Engagement, Interest)</t>
  </si>
  <si>
    <t>user28</t>
  </si>
  <si>
    <t>Totally new to coding</t>
  </si>
  <si>
    <t>nope</t>
  </si>
  <si>
    <t>Was not really sure what I was doing</t>
  </si>
  <si>
    <t>Not really sure it helped my learn anything, don't think coding is for me</t>
  </si>
  <si>
    <t>user29</t>
  </si>
  <si>
    <t>A visual representation of correct and incorrect answers would be good</t>
  </si>
  <si>
    <t>can't think of any</t>
  </si>
  <si>
    <t>I found myself clicking next question quickly, not taking in the answer. An explanation for wrong questions would make me slow down to read</t>
  </si>
  <si>
    <t>See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</si>
</sst>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CBEE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BC9A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/>
    <xf numFmtId="0" fontId="4" fillId="2" borderId="0" xfId="0" applyFont="1" applyFill="1"/>
    <xf numFmtId="3" fontId="0" fillId="0" borderId="0" xfId="0" applyNumberFormat="1"/>
    <xf numFmtId="4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vertical="top"/>
    </xf>
    <xf numFmtId="0" fontId="0" fillId="4" borderId="0" xfId="0" applyFill="1"/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6" fillId="3" borderId="2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6" fillId="4" borderId="2" xfId="0" applyFont="1" applyFill="1" applyBorder="1" applyAlignment="1">
      <alignment horizontal="center" vertical="top"/>
    </xf>
    <xf numFmtId="0" fontId="1" fillId="7" borderId="3" xfId="0" applyFont="1" applyFill="1" applyBorder="1" applyAlignment="1">
      <alignment horizontal="center" vertical="top"/>
    </xf>
    <xf numFmtId="0" fontId="5" fillId="3" borderId="0" xfId="0" applyFont="1" applyFill="1" applyAlignment="1">
      <alignment vertical="top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0" fillId="17" borderId="0" xfId="0" applyFill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vertical="top"/>
    </xf>
    <xf numFmtId="0" fontId="2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2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5" xfId="0" applyFill="1" applyBorder="1" applyAlignment="1">
      <alignment horizontal="center"/>
    </xf>
    <xf numFmtId="0" fontId="2" fillId="16" borderId="5" xfId="0" applyFont="1" applyFill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7" fillId="16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9900"/>
      <color rgb="FFEABC9A"/>
      <color rgb="FF1CBEE4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7"/>
  <sheetViews>
    <sheetView tabSelected="1" topLeftCell="BJ1" workbookViewId="0">
      <selection activeCell="BK3" sqref="BK3"/>
    </sheetView>
  </sheetViews>
  <sheetFormatPr defaultRowHeight="15" x14ac:dyDescent="0.25"/>
  <cols>
    <col min="1" max="1" width="10.5703125" bestFit="1" customWidth="1"/>
    <col min="2" max="2" width="73" bestFit="1" customWidth="1"/>
    <col min="3" max="3" width="20.42578125" customWidth="1"/>
    <col min="4" max="4" width="61.7109375" bestFit="1" customWidth="1"/>
    <col min="5" max="5" width="25.5703125" customWidth="1"/>
    <col min="6" max="6" width="63.7109375" bestFit="1" customWidth="1"/>
    <col min="7" max="7" width="66" bestFit="1" customWidth="1"/>
    <col min="8" max="8" width="27.42578125" customWidth="1"/>
    <col min="9" max="9" width="49.85546875" bestFit="1" customWidth="1"/>
    <col min="10" max="10" width="49.85546875" customWidth="1"/>
    <col min="11" max="11" width="87.7109375" bestFit="1" customWidth="1"/>
    <col min="12" max="12" width="55" bestFit="1" customWidth="1"/>
    <col min="13" max="13" width="55.5703125" bestFit="1" customWidth="1"/>
    <col min="14" max="14" width="58.42578125" bestFit="1" customWidth="1"/>
    <col min="15" max="15" width="32.42578125" bestFit="1" customWidth="1"/>
    <col min="16" max="16" width="55.28515625" bestFit="1" customWidth="1"/>
    <col min="17" max="17" width="48.28515625" bestFit="1" customWidth="1"/>
    <col min="18" max="18" width="65.140625" bestFit="1" customWidth="1"/>
    <col min="19" max="19" width="44.5703125" bestFit="1" customWidth="1"/>
    <col min="20" max="20" width="46.42578125" bestFit="1" customWidth="1"/>
    <col min="21" max="21" width="39.5703125" bestFit="1" customWidth="1"/>
    <col min="22" max="22" width="56.42578125" bestFit="1" customWidth="1"/>
    <col min="23" max="23" width="15.5703125" bestFit="1" customWidth="1"/>
    <col min="24" max="24" width="48.85546875" bestFit="1" customWidth="1"/>
    <col min="25" max="25" width="33.42578125" customWidth="1"/>
    <col min="26" max="26" width="65.28515625" bestFit="1" customWidth="1"/>
    <col min="27" max="27" width="69.7109375" bestFit="1" customWidth="1"/>
    <col min="28" max="28" width="31.140625" customWidth="1"/>
    <col min="29" max="29" width="57.42578125" bestFit="1" customWidth="1"/>
    <col min="30" max="30" width="57.42578125" customWidth="1"/>
    <col min="31" max="31" width="60.42578125" bestFit="1" customWidth="1"/>
    <col min="32" max="32" width="31.140625" customWidth="1"/>
    <col min="33" max="33" width="255.7109375" bestFit="1" customWidth="1"/>
    <col min="34" max="34" width="41.85546875" bestFit="1" customWidth="1"/>
    <col min="35" max="35" width="63.5703125" bestFit="1" customWidth="1"/>
    <col min="36" max="36" width="66.28515625" bestFit="1" customWidth="1"/>
    <col min="37" max="37" width="65.7109375" bestFit="1" customWidth="1"/>
    <col min="38" max="38" width="42.42578125" bestFit="1" customWidth="1"/>
    <col min="39" max="39" width="52.85546875" bestFit="1" customWidth="1"/>
    <col min="40" max="40" width="42.5703125" bestFit="1" customWidth="1"/>
    <col min="41" max="41" width="49.140625" bestFit="1" customWidth="1"/>
    <col min="42" max="42" width="43.42578125" bestFit="1" customWidth="1"/>
    <col min="43" max="43" width="55.7109375" bestFit="1" customWidth="1"/>
    <col min="44" max="44" width="15.28515625" bestFit="1" customWidth="1"/>
    <col min="45" max="45" width="45.42578125" bestFit="1" customWidth="1"/>
    <col min="46" max="46" width="63.42578125" bestFit="1" customWidth="1"/>
    <col min="47" max="47" width="70.85546875" bestFit="1" customWidth="1"/>
    <col min="48" max="48" width="62.5703125" bestFit="1" customWidth="1"/>
    <col min="49" max="49" width="62.85546875" bestFit="1" customWidth="1"/>
    <col min="50" max="50" width="67" bestFit="1" customWidth="1"/>
    <col min="51" max="51" width="58.7109375" bestFit="1" customWidth="1"/>
    <col min="52" max="52" width="64.7109375" bestFit="1" customWidth="1"/>
    <col min="53" max="53" width="63.140625" bestFit="1" customWidth="1"/>
    <col min="54" max="54" width="66.28515625" bestFit="1" customWidth="1"/>
    <col min="55" max="55" width="64.5703125" bestFit="1" customWidth="1"/>
    <col min="56" max="56" width="49.5703125" bestFit="1" customWidth="1"/>
    <col min="57" max="57" width="62.85546875" bestFit="1" customWidth="1"/>
    <col min="58" max="58" width="67.42578125" bestFit="1" customWidth="1"/>
    <col min="59" max="59" width="66.28515625" bestFit="1" customWidth="1"/>
    <col min="60" max="60" width="111.28515625" bestFit="1" customWidth="1"/>
    <col min="61" max="61" width="144.28515625" bestFit="1" customWidth="1"/>
    <col min="62" max="62" width="128.7109375" bestFit="1" customWidth="1"/>
    <col min="63" max="63" width="12" bestFit="1" customWidth="1"/>
    <col min="64" max="64" width="17.5703125" bestFit="1" customWidth="1"/>
    <col min="65" max="65" width="23" bestFit="1" customWidth="1"/>
    <col min="66" max="66" width="10.140625" bestFit="1" customWidth="1"/>
    <col min="67" max="67" width="11" bestFit="1" customWidth="1"/>
    <col min="68" max="68" width="11.140625" bestFit="1" customWidth="1"/>
    <col min="69" max="69" width="9.85546875" bestFit="1" customWidth="1"/>
    <col min="70" max="70" width="19.85546875" bestFit="1" customWidth="1"/>
    <col min="71" max="71" width="17.28515625" bestFit="1" customWidth="1"/>
    <col min="72" max="72" width="19" bestFit="1" customWidth="1"/>
    <col min="73" max="73" width="17" bestFit="1" customWidth="1"/>
    <col min="74" max="74" width="22" bestFit="1" customWidth="1"/>
    <col min="75" max="75" width="25.5703125" customWidth="1"/>
    <col min="76" max="76" width="16.28515625" bestFit="1" customWidth="1"/>
    <col min="77" max="77" width="16.42578125" bestFit="1" customWidth="1"/>
    <col min="78" max="78" width="9.140625" customWidth="1"/>
  </cols>
  <sheetData>
    <row r="1" spans="1:77" x14ac:dyDescent="0.25">
      <c r="B1" s="26" t="s">
        <v>280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8" t="s">
        <v>281</v>
      </c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9" t="s">
        <v>282</v>
      </c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</row>
    <row r="2" spans="1:77" x14ac:dyDescent="0.25">
      <c r="A2" s="25"/>
      <c r="B2" s="31" t="s">
        <v>286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2" t="s">
        <v>287</v>
      </c>
      <c r="N2" s="32"/>
      <c r="O2" s="32"/>
      <c r="P2" s="32"/>
      <c r="Q2" s="32"/>
      <c r="R2" s="32"/>
      <c r="S2" s="32"/>
      <c r="T2" s="32"/>
      <c r="U2" s="32"/>
      <c r="V2" s="32"/>
      <c r="W2" s="32"/>
      <c r="X2" s="33" t="s">
        <v>286</v>
      </c>
      <c r="Y2" s="33"/>
      <c r="Z2" s="33"/>
      <c r="AA2" s="33"/>
      <c r="AB2" s="33"/>
      <c r="AC2" s="33"/>
      <c r="AD2" s="33"/>
      <c r="AE2" s="33"/>
      <c r="AF2" s="33"/>
      <c r="AG2" s="33"/>
      <c r="AH2" s="34" t="s">
        <v>287</v>
      </c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6" t="s">
        <v>318</v>
      </c>
      <c r="AT2" s="36"/>
      <c r="AU2" s="36"/>
      <c r="AV2" s="37" t="s">
        <v>288</v>
      </c>
      <c r="AW2" s="37"/>
      <c r="AX2" s="37"/>
      <c r="AY2" s="38" t="s">
        <v>289</v>
      </c>
      <c r="AZ2" s="38"/>
      <c r="BA2" s="38"/>
      <c r="BB2" s="39" t="s">
        <v>290</v>
      </c>
      <c r="BC2" s="39"/>
      <c r="BD2" s="39"/>
      <c r="BE2" s="38" t="s">
        <v>291</v>
      </c>
      <c r="BF2" s="38"/>
      <c r="BG2" s="38"/>
      <c r="BH2" s="40" t="s">
        <v>292</v>
      </c>
      <c r="BI2" s="40"/>
      <c r="BJ2" s="40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</row>
    <row r="3" spans="1:77" x14ac:dyDescent="0.25">
      <c r="A3" s="24" t="s">
        <v>0</v>
      </c>
      <c r="B3" s="5" t="s">
        <v>1</v>
      </c>
      <c r="C3" s="5" t="s">
        <v>274</v>
      </c>
      <c r="D3" s="5" t="s">
        <v>2</v>
      </c>
      <c r="E3" s="5" t="s">
        <v>275</v>
      </c>
      <c r="F3" s="5" t="s">
        <v>3</v>
      </c>
      <c r="G3" s="5" t="s">
        <v>4</v>
      </c>
      <c r="H3" s="5" t="s">
        <v>276</v>
      </c>
      <c r="I3" s="5" t="s">
        <v>5</v>
      </c>
      <c r="J3" s="5" t="s">
        <v>277</v>
      </c>
      <c r="K3" s="5" t="s">
        <v>6</v>
      </c>
      <c r="L3" s="5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5" t="s">
        <v>15</v>
      </c>
      <c r="U3" s="5" t="s">
        <v>16</v>
      </c>
      <c r="V3" s="5" t="s">
        <v>17</v>
      </c>
      <c r="W3" s="13" t="s">
        <v>271</v>
      </c>
      <c r="X3" s="6" t="s">
        <v>18</v>
      </c>
      <c r="Y3" s="6" t="s">
        <v>278</v>
      </c>
      <c r="Z3" s="6" t="s">
        <v>19</v>
      </c>
      <c r="AA3" s="6" t="s">
        <v>20</v>
      </c>
      <c r="AB3" s="6" t="s">
        <v>275</v>
      </c>
      <c r="AC3" s="6" t="s">
        <v>21</v>
      </c>
      <c r="AD3" s="6" t="s">
        <v>283</v>
      </c>
      <c r="AE3" s="6" t="s">
        <v>22</v>
      </c>
      <c r="AF3" s="6" t="s">
        <v>279</v>
      </c>
      <c r="AG3" s="6" t="s">
        <v>23</v>
      </c>
      <c r="AH3" s="6" t="s">
        <v>24</v>
      </c>
      <c r="AI3" s="6" t="s">
        <v>25</v>
      </c>
      <c r="AJ3" s="6" t="s">
        <v>26</v>
      </c>
      <c r="AK3" s="6" t="s">
        <v>27</v>
      </c>
      <c r="AL3" s="6" t="s">
        <v>28</v>
      </c>
      <c r="AM3" s="6" t="s">
        <v>29</v>
      </c>
      <c r="AN3" s="6" t="s">
        <v>30</v>
      </c>
      <c r="AO3" s="6" t="s">
        <v>31</v>
      </c>
      <c r="AP3" s="6" t="s">
        <v>32</v>
      </c>
      <c r="AQ3" s="6" t="s">
        <v>33</v>
      </c>
      <c r="AR3" s="16" t="s">
        <v>272</v>
      </c>
      <c r="AS3" s="7" t="s">
        <v>34</v>
      </c>
      <c r="AT3" s="7" t="s">
        <v>35</v>
      </c>
      <c r="AU3" s="7" t="s">
        <v>36</v>
      </c>
      <c r="AV3" s="7" t="s">
        <v>37</v>
      </c>
      <c r="AW3" s="7" t="s">
        <v>38</v>
      </c>
      <c r="AX3" s="7" t="s">
        <v>39</v>
      </c>
      <c r="AY3" s="7" t="s">
        <v>40</v>
      </c>
      <c r="AZ3" s="7" t="s">
        <v>41</v>
      </c>
      <c r="BA3" s="7" t="s">
        <v>42</v>
      </c>
      <c r="BB3" s="7" t="s">
        <v>43</v>
      </c>
      <c r="BC3" s="7" t="s">
        <v>44</v>
      </c>
      <c r="BD3" s="7" t="s">
        <v>45</v>
      </c>
      <c r="BE3" s="7" t="s">
        <v>46</v>
      </c>
      <c r="BF3" s="7" t="s">
        <v>47</v>
      </c>
      <c r="BG3" s="7" t="s">
        <v>48</v>
      </c>
      <c r="BH3" s="7" t="s">
        <v>49</v>
      </c>
      <c r="BI3" s="7" t="s">
        <v>50</v>
      </c>
      <c r="BJ3" s="7" t="s">
        <v>51</v>
      </c>
      <c r="BK3" s="11" t="s">
        <v>52</v>
      </c>
      <c r="BL3" s="11" t="s">
        <v>53</v>
      </c>
      <c r="BM3" s="11" t="s">
        <v>54</v>
      </c>
      <c r="BN3" s="11" t="s">
        <v>55</v>
      </c>
      <c r="BO3" s="11" t="s">
        <v>56</v>
      </c>
      <c r="BP3" s="11" t="s">
        <v>57</v>
      </c>
      <c r="BQ3" s="11" t="s">
        <v>58</v>
      </c>
      <c r="BR3" s="11" t="s">
        <v>59</v>
      </c>
      <c r="BS3" s="11" t="s">
        <v>60</v>
      </c>
      <c r="BT3" s="11" t="s">
        <v>61</v>
      </c>
      <c r="BU3" s="11" t="s">
        <v>62</v>
      </c>
      <c r="BV3" s="11" t="s">
        <v>63</v>
      </c>
      <c r="BW3" s="17" t="s">
        <v>273</v>
      </c>
      <c r="BX3" s="17" t="s">
        <v>284</v>
      </c>
      <c r="BY3" s="17" t="s">
        <v>285</v>
      </c>
    </row>
    <row r="4" spans="1:77" x14ac:dyDescent="0.25">
      <c r="A4" t="s">
        <v>64</v>
      </c>
      <c r="B4" t="s">
        <v>65</v>
      </c>
      <c r="C4" s="14">
        <v>2</v>
      </c>
      <c r="D4" t="s">
        <v>66</v>
      </c>
      <c r="E4" s="14">
        <v>2</v>
      </c>
      <c r="F4" t="s">
        <v>67</v>
      </c>
      <c r="G4" t="s">
        <v>68</v>
      </c>
      <c r="H4" s="14">
        <v>3</v>
      </c>
      <c r="I4" t="s">
        <v>69</v>
      </c>
      <c r="J4" s="14">
        <v>4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 t="s">
        <v>80</v>
      </c>
      <c r="V4" t="s">
        <v>81</v>
      </c>
      <c r="W4" s="15">
        <v>6</v>
      </c>
      <c r="X4" t="s">
        <v>82</v>
      </c>
      <c r="Y4" s="14">
        <v>4</v>
      </c>
      <c r="Z4" t="s">
        <v>83</v>
      </c>
      <c r="AA4" t="s">
        <v>84</v>
      </c>
      <c r="AB4" s="14">
        <v>3</v>
      </c>
      <c r="AC4" t="s">
        <v>85</v>
      </c>
      <c r="AD4" s="14">
        <v>2</v>
      </c>
      <c r="AE4" t="s">
        <v>86</v>
      </c>
      <c r="AF4" s="14">
        <v>3</v>
      </c>
      <c r="AG4" t="s">
        <v>87</v>
      </c>
      <c r="AH4" t="s">
        <v>72</v>
      </c>
      <c r="AI4" t="s">
        <v>88</v>
      </c>
      <c r="AJ4" t="s">
        <v>89</v>
      </c>
      <c r="AK4" t="s">
        <v>90</v>
      </c>
      <c r="AL4" s="2" t="s">
        <v>256</v>
      </c>
      <c r="AM4" t="s">
        <v>91</v>
      </c>
      <c r="AN4" t="s">
        <v>92</v>
      </c>
      <c r="AO4" t="s">
        <v>93</v>
      </c>
      <c r="AP4" t="s">
        <v>94</v>
      </c>
      <c r="AQ4" t="s">
        <v>95</v>
      </c>
      <c r="AR4">
        <v>8</v>
      </c>
      <c r="AS4">
        <v>8</v>
      </c>
      <c r="AT4">
        <v>8</v>
      </c>
      <c r="AU4">
        <v>9</v>
      </c>
      <c r="AV4">
        <v>7</v>
      </c>
      <c r="AW4">
        <v>9</v>
      </c>
      <c r="AX4">
        <v>6</v>
      </c>
      <c r="AY4">
        <v>9</v>
      </c>
      <c r="AZ4">
        <v>9</v>
      </c>
      <c r="BA4">
        <v>8</v>
      </c>
      <c r="BB4">
        <v>7</v>
      </c>
      <c r="BC4">
        <v>9</v>
      </c>
      <c r="BD4">
        <v>6</v>
      </c>
      <c r="BE4">
        <v>8</v>
      </c>
      <c r="BF4">
        <v>8</v>
      </c>
      <c r="BG4">
        <v>8</v>
      </c>
      <c r="BH4" t="s">
        <v>96</v>
      </c>
      <c r="BI4" t="s">
        <v>97</v>
      </c>
      <c r="BJ4" t="s">
        <v>98</v>
      </c>
      <c r="BK4" s="15">
        <v>1</v>
      </c>
      <c r="BL4">
        <v>60</v>
      </c>
      <c r="BM4">
        <v>49</v>
      </c>
      <c r="BN4">
        <v>8</v>
      </c>
      <c r="BO4">
        <v>46</v>
      </c>
      <c r="BP4">
        <v>39</v>
      </c>
      <c r="BQ4">
        <v>0</v>
      </c>
      <c r="BR4">
        <v>35</v>
      </c>
      <c r="BS4">
        <v>22</v>
      </c>
      <c r="BT4">
        <v>13</v>
      </c>
      <c r="BU4">
        <v>62.86</v>
      </c>
      <c r="BV4">
        <v>8164.51</v>
      </c>
      <c r="BW4" s="15">
        <f>AR4-W4</f>
        <v>2</v>
      </c>
      <c r="BX4" s="15">
        <f>Y4-C4</f>
        <v>2</v>
      </c>
      <c r="BY4">
        <f>AB4-E4</f>
        <v>1</v>
      </c>
    </row>
    <row r="5" spans="1:77" x14ac:dyDescent="0.25">
      <c r="A5" t="s">
        <v>99</v>
      </c>
      <c r="B5" t="s">
        <v>100</v>
      </c>
      <c r="C5" s="14">
        <v>1</v>
      </c>
      <c r="D5" t="s">
        <v>101</v>
      </c>
      <c r="E5" s="14">
        <v>1</v>
      </c>
      <c r="F5" t="s">
        <v>102</v>
      </c>
      <c r="G5" t="s">
        <v>103</v>
      </c>
      <c r="H5" s="14">
        <v>1</v>
      </c>
      <c r="I5" t="s">
        <v>104</v>
      </c>
      <c r="J5" s="14">
        <v>3</v>
      </c>
      <c r="K5" t="s">
        <v>71</v>
      </c>
      <c r="L5" t="s">
        <v>71</v>
      </c>
      <c r="M5" t="s">
        <v>105</v>
      </c>
      <c r="N5" t="s">
        <v>106</v>
      </c>
      <c r="O5" t="s">
        <v>74</v>
      </c>
      <c r="P5" t="s">
        <v>107</v>
      </c>
      <c r="Q5" t="s">
        <v>108</v>
      </c>
      <c r="R5" t="s">
        <v>109</v>
      </c>
      <c r="S5" t="s">
        <v>78</v>
      </c>
      <c r="T5" t="s">
        <v>110</v>
      </c>
      <c r="U5" t="s">
        <v>111</v>
      </c>
      <c r="V5" t="s">
        <v>112</v>
      </c>
      <c r="W5" s="15">
        <v>2</v>
      </c>
      <c r="X5" t="s">
        <v>82</v>
      </c>
      <c r="Y5" s="14">
        <v>4</v>
      </c>
      <c r="Z5" t="s">
        <v>113</v>
      </c>
      <c r="AA5" t="s">
        <v>114</v>
      </c>
      <c r="AB5" s="14">
        <v>2</v>
      </c>
      <c r="AC5" t="s">
        <v>115</v>
      </c>
      <c r="AD5" s="14">
        <v>4</v>
      </c>
      <c r="AE5" t="s">
        <v>116</v>
      </c>
      <c r="AF5" s="14">
        <v>4</v>
      </c>
      <c r="AH5" t="s">
        <v>117</v>
      </c>
      <c r="AI5" t="s">
        <v>118</v>
      </c>
      <c r="AJ5" t="s">
        <v>89</v>
      </c>
      <c r="AK5" t="s">
        <v>119</v>
      </c>
      <c r="AL5" s="2" t="s">
        <v>256</v>
      </c>
      <c r="AM5" t="s">
        <v>91</v>
      </c>
      <c r="AN5" t="s">
        <v>78</v>
      </c>
      <c r="AO5" t="s">
        <v>120</v>
      </c>
      <c r="AP5" t="s">
        <v>121</v>
      </c>
      <c r="AQ5" t="s">
        <v>95</v>
      </c>
      <c r="AR5">
        <v>4</v>
      </c>
      <c r="AS5">
        <v>10</v>
      </c>
      <c r="AT5">
        <v>10</v>
      </c>
      <c r="AU5">
        <v>5</v>
      </c>
      <c r="AV5">
        <v>10</v>
      </c>
      <c r="AW5">
        <v>10</v>
      </c>
      <c r="AX5">
        <v>10</v>
      </c>
      <c r="AY5">
        <v>8</v>
      </c>
      <c r="AZ5">
        <v>10</v>
      </c>
      <c r="BA5">
        <v>10</v>
      </c>
      <c r="BB5">
        <v>10</v>
      </c>
      <c r="BC5">
        <v>10</v>
      </c>
      <c r="BD5">
        <v>10</v>
      </c>
      <c r="BE5">
        <v>10</v>
      </c>
      <c r="BF5">
        <v>10</v>
      </c>
      <c r="BG5">
        <v>10</v>
      </c>
      <c r="BH5" t="s">
        <v>122</v>
      </c>
      <c r="BI5" t="s">
        <v>123</v>
      </c>
      <c r="BJ5" t="s">
        <v>71</v>
      </c>
      <c r="BK5" s="15">
        <v>1</v>
      </c>
      <c r="BL5">
        <v>20</v>
      </c>
      <c r="BM5">
        <v>20</v>
      </c>
      <c r="BN5">
        <v>11</v>
      </c>
      <c r="BO5">
        <v>20</v>
      </c>
      <c r="BP5">
        <v>23</v>
      </c>
      <c r="BQ5">
        <v>0</v>
      </c>
      <c r="BR5">
        <v>7</v>
      </c>
      <c r="BS5">
        <v>4</v>
      </c>
      <c r="BT5">
        <v>3</v>
      </c>
      <c r="BU5">
        <v>57.14</v>
      </c>
      <c r="BV5">
        <v>31799</v>
      </c>
      <c r="BW5" s="15">
        <f t="shared" ref="BW5:BW32" si="0">AR5-W5</f>
        <v>2</v>
      </c>
      <c r="BX5" s="15">
        <f t="shared" ref="BX5:BX26" si="1">Y5-C5</f>
        <v>3</v>
      </c>
      <c r="BY5">
        <f t="shared" ref="BY5:BY32" si="2">AB5-E5</f>
        <v>1</v>
      </c>
    </row>
    <row r="6" spans="1:77" x14ac:dyDescent="0.25">
      <c r="A6" t="s">
        <v>124</v>
      </c>
      <c r="B6" t="s">
        <v>100</v>
      </c>
      <c r="C6" s="14">
        <v>1</v>
      </c>
      <c r="D6" t="s">
        <v>101</v>
      </c>
      <c r="E6" s="14">
        <v>1</v>
      </c>
      <c r="F6" t="s">
        <v>125</v>
      </c>
      <c r="G6" t="s">
        <v>103</v>
      </c>
      <c r="H6" s="14">
        <v>1</v>
      </c>
      <c r="I6" t="s">
        <v>126</v>
      </c>
      <c r="J6" s="14">
        <v>1</v>
      </c>
      <c r="K6" t="s">
        <v>127</v>
      </c>
      <c r="L6" t="s">
        <v>71</v>
      </c>
      <c r="M6" t="s">
        <v>128</v>
      </c>
      <c r="N6" t="s">
        <v>129</v>
      </c>
      <c r="O6" t="s">
        <v>74</v>
      </c>
      <c r="P6" t="s">
        <v>75</v>
      </c>
      <c r="Q6" t="s">
        <v>130</v>
      </c>
      <c r="R6" t="s">
        <v>77</v>
      </c>
      <c r="S6" t="s">
        <v>78</v>
      </c>
      <c r="T6" t="s">
        <v>131</v>
      </c>
      <c r="U6" t="s">
        <v>132</v>
      </c>
      <c r="V6" t="s">
        <v>133</v>
      </c>
      <c r="W6" s="15">
        <v>2</v>
      </c>
      <c r="X6" t="s">
        <v>134</v>
      </c>
      <c r="Y6" s="14">
        <v>2</v>
      </c>
      <c r="Z6" t="s">
        <v>113</v>
      </c>
      <c r="AA6" t="s">
        <v>114</v>
      </c>
      <c r="AB6" s="14">
        <v>2</v>
      </c>
      <c r="AC6" t="s">
        <v>135</v>
      </c>
      <c r="AD6" s="14">
        <v>3</v>
      </c>
      <c r="AE6" t="s">
        <v>86</v>
      </c>
      <c r="AF6" s="14">
        <v>3</v>
      </c>
      <c r="AG6" t="s">
        <v>136</v>
      </c>
      <c r="AH6" t="s">
        <v>72</v>
      </c>
      <c r="AI6" t="s">
        <v>88</v>
      </c>
      <c r="AJ6" t="s">
        <v>89</v>
      </c>
      <c r="AK6" t="s">
        <v>90</v>
      </c>
      <c r="AL6" t="s">
        <v>137</v>
      </c>
      <c r="AM6" t="s">
        <v>138</v>
      </c>
      <c r="AN6" t="s">
        <v>92</v>
      </c>
      <c r="AO6" t="s">
        <v>120</v>
      </c>
      <c r="AP6" t="s">
        <v>121</v>
      </c>
      <c r="AQ6" t="s">
        <v>95</v>
      </c>
      <c r="AR6">
        <v>6</v>
      </c>
      <c r="AS6">
        <v>7</v>
      </c>
      <c r="AT6">
        <v>5</v>
      </c>
      <c r="AU6">
        <v>5</v>
      </c>
      <c r="AV6">
        <v>4</v>
      </c>
      <c r="AW6">
        <v>6</v>
      </c>
      <c r="AX6">
        <v>4</v>
      </c>
      <c r="AY6">
        <v>6</v>
      </c>
      <c r="AZ6">
        <v>7</v>
      </c>
      <c r="BA6">
        <v>6</v>
      </c>
      <c r="BB6">
        <v>6</v>
      </c>
      <c r="BC6">
        <v>7</v>
      </c>
      <c r="BD6">
        <v>7</v>
      </c>
      <c r="BE6">
        <v>6</v>
      </c>
      <c r="BF6">
        <v>6</v>
      </c>
      <c r="BG6">
        <v>3</v>
      </c>
      <c r="BH6" t="s">
        <v>139</v>
      </c>
      <c r="BI6" t="s">
        <v>140</v>
      </c>
      <c r="BJ6" t="s">
        <v>141</v>
      </c>
      <c r="BK6" s="15">
        <v>1</v>
      </c>
      <c r="BL6">
        <v>26</v>
      </c>
      <c r="BM6">
        <v>16</v>
      </c>
      <c r="BN6">
        <v>46</v>
      </c>
      <c r="BO6">
        <v>50</v>
      </c>
      <c r="BP6">
        <v>34</v>
      </c>
      <c r="BQ6">
        <v>0</v>
      </c>
      <c r="BR6">
        <v>32</v>
      </c>
      <c r="BS6">
        <v>18</v>
      </c>
      <c r="BT6">
        <v>14</v>
      </c>
      <c r="BU6">
        <v>56.25</v>
      </c>
      <c r="BV6">
        <v>11084.5</v>
      </c>
      <c r="BW6" s="15">
        <f t="shared" si="0"/>
        <v>4</v>
      </c>
      <c r="BX6" s="15">
        <f t="shared" si="1"/>
        <v>1</v>
      </c>
      <c r="BY6">
        <f t="shared" si="2"/>
        <v>1</v>
      </c>
    </row>
    <row r="7" spans="1:77" x14ac:dyDescent="0.25">
      <c r="A7" t="s">
        <v>142</v>
      </c>
      <c r="B7" t="s">
        <v>100</v>
      </c>
      <c r="C7" s="14">
        <v>1</v>
      </c>
      <c r="D7" t="s">
        <v>101</v>
      </c>
      <c r="E7" s="14">
        <v>1</v>
      </c>
      <c r="F7" t="s">
        <v>125</v>
      </c>
      <c r="G7" t="s">
        <v>103</v>
      </c>
      <c r="H7" s="14">
        <v>1</v>
      </c>
      <c r="I7" t="s">
        <v>126</v>
      </c>
      <c r="J7" s="14">
        <v>1</v>
      </c>
      <c r="L7" t="s">
        <v>71</v>
      </c>
      <c r="M7" t="s">
        <v>105</v>
      </c>
      <c r="N7" t="s">
        <v>106</v>
      </c>
      <c r="O7" t="s">
        <v>74</v>
      </c>
      <c r="P7" t="s">
        <v>75</v>
      </c>
      <c r="Q7" t="s">
        <v>108</v>
      </c>
      <c r="R7" t="s">
        <v>77</v>
      </c>
      <c r="S7" t="s">
        <v>92</v>
      </c>
      <c r="T7" t="s">
        <v>131</v>
      </c>
      <c r="U7" t="s">
        <v>143</v>
      </c>
      <c r="V7" t="s">
        <v>144</v>
      </c>
      <c r="W7" s="15">
        <v>2</v>
      </c>
      <c r="X7" t="s">
        <v>134</v>
      </c>
      <c r="Y7" s="14">
        <v>2</v>
      </c>
      <c r="Z7" t="s">
        <v>113</v>
      </c>
      <c r="AA7" t="s">
        <v>114</v>
      </c>
      <c r="AB7" s="14">
        <v>2</v>
      </c>
      <c r="AC7" t="s">
        <v>135</v>
      </c>
      <c r="AD7" s="14">
        <v>3</v>
      </c>
      <c r="AE7" t="s">
        <v>86</v>
      </c>
      <c r="AF7" s="14">
        <v>3</v>
      </c>
      <c r="AG7" t="s">
        <v>145</v>
      </c>
      <c r="AH7" t="s">
        <v>72</v>
      </c>
      <c r="AI7" t="s">
        <v>88</v>
      </c>
      <c r="AJ7" t="s">
        <v>146</v>
      </c>
      <c r="AK7" t="s">
        <v>90</v>
      </c>
      <c r="AL7" s="1" t="s">
        <v>256</v>
      </c>
      <c r="AM7" t="s">
        <v>147</v>
      </c>
      <c r="AN7" t="s">
        <v>148</v>
      </c>
      <c r="AO7" t="s">
        <v>120</v>
      </c>
      <c r="AP7" t="s">
        <v>149</v>
      </c>
      <c r="AQ7" t="s">
        <v>95</v>
      </c>
      <c r="AR7">
        <v>5</v>
      </c>
      <c r="AS7">
        <v>5</v>
      </c>
      <c r="AT7">
        <v>5</v>
      </c>
      <c r="AU7">
        <v>5</v>
      </c>
      <c r="AV7">
        <v>4</v>
      </c>
      <c r="AW7">
        <v>7</v>
      </c>
      <c r="AX7">
        <v>6</v>
      </c>
      <c r="AY7">
        <v>6</v>
      </c>
      <c r="AZ7">
        <v>6</v>
      </c>
      <c r="BA7">
        <v>5</v>
      </c>
      <c r="BB7">
        <v>6</v>
      </c>
      <c r="BC7">
        <v>7</v>
      </c>
      <c r="BD7">
        <v>6</v>
      </c>
      <c r="BE7">
        <v>7</v>
      </c>
      <c r="BF7">
        <v>7</v>
      </c>
      <c r="BG7">
        <v>4</v>
      </c>
      <c r="BH7" t="s">
        <v>150</v>
      </c>
      <c r="BI7" t="s">
        <v>151</v>
      </c>
      <c r="BJ7" t="s">
        <v>152</v>
      </c>
      <c r="BK7" s="15">
        <v>1</v>
      </c>
      <c r="BL7">
        <v>25</v>
      </c>
      <c r="BM7">
        <v>23</v>
      </c>
      <c r="BN7">
        <v>5</v>
      </c>
      <c r="BO7">
        <v>23</v>
      </c>
      <c r="BP7">
        <v>28</v>
      </c>
      <c r="BQ7">
        <v>0</v>
      </c>
      <c r="BR7">
        <v>29</v>
      </c>
      <c r="BS7">
        <v>15</v>
      </c>
      <c r="BT7">
        <v>14</v>
      </c>
      <c r="BU7">
        <v>51.72</v>
      </c>
      <c r="BV7">
        <v>14413</v>
      </c>
      <c r="BW7" s="15">
        <f t="shared" si="0"/>
        <v>3</v>
      </c>
      <c r="BX7" s="15">
        <f t="shared" si="1"/>
        <v>1</v>
      </c>
      <c r="BY7">
        <f t="shared" si="2"/>
        <v>1</v>
      </c>
    </row>
    <row r="8" spans="1:77" x14ac:dyDescent="0.25">
      <c r="A8" t="s">
        <v>153</v>
      </c>
      <c r="B8" t="s">
        <v>100</v>
      </c>
      <c r="C8" s="14">
        <v>1</v>
      </c>
      <c r="D8" t="s">
        <v>101</v>
      </c>
      <c r="E8" s="14">
        <v>1</v>
      </c>
      <c r="F8" t="s">
        <v>125</v>
      </c>
      <c r="G8" t="s">
        <v>103</v>
      </c>
      <c r="H8" s="14">
        <v>1</v>
      </c>
      <c r="I8" t="s">
        <v>126</v>
      </c>
      <c r="J8" s="14">
        <v>1</v>
      </c>
      <c r="K8" t="s">
        <v>154</v>
      </c>
      <c r="L8" t="s">
        <v>71</v>
      </c>
      <c r="M8" t="s">
        <v>155</v>
      </c>
      <c r="N8" t="s">
        <v>73</v>
      </c>
      <c r="O8" t="s">
        <v>74</v>
      </c>
      <c r="P8" t="s">
        <v>107</v>
      </c>
      <c r="Q8" t="s">
        <v>108</v>
      </c>
      <c r="R8" t="s">
        <v>109</v>
      </c>
      <c r="S8" t="s">
        <v>78</v>
      </c>
      <c r="T8" t="s">
        <v>156</v>
      </c>
      <c r="U8" t="s">
        <v>132</v>
      </c>
      <c r="V8" t="s">
        <v>133</v>
      </c>
      <c r="W8" s="15">
        <v>3</v>
      </c>
      <c r="X8" t="s">
        <v>134</v>
      </c>
      <c r="Y8" s="14">
        <v>2</v>
      </c>
      <c r="Z8" t="s">
        <v>113</v>
      </c>
      <c r="AA8" t="s">
        <v>114</v>
      </c>
      <c r="AB8" s="14">
        <v>2</v>
      </c>
      <c r="AC8" t="s">
        <v>135</v>
      </c>
      <c r="AD8" s="14">
        <v>3</v>
      </c>
      <c r="AE8" t="s">
        <v>86</v>
      </c>
      <c r="AF8" s="14">
        <v>3</v>
      </c>
      <c r="AG8" t="s">
        <v>157</v>
      </c>
      <c r="AH8" t="s">
        <v>72</v>
      </c>
      <c r="AI8" t="s">
        <v>88</v>
      </c>
      <c r="AJ8" t="s">
        <v>158</v>
      </c>
      <c r="AK8" t="s">
        <v>90</v>
      </c>
      <c r="AL8" t="s">
        <v>137</v>
      </c>
      <c r="AM8" t="s">
        <v>147</v>
      </c>
      <c r="AN8" t="s">
        <v>78</v>
      </c>
      <c r="AO8" t="s">
        <v>120</v>
      </c>
      <c r="AP8" t="s">
        <v>121</v>
      </c>
      <c r="AQ8" t="s">
        <v>159</v>
      </c>
      <c r="AR8">
        <v>4</v>
      </c>
      <c r="AS8">
        <v>7</v>
      </c>
      <c r="AT8">
        <v>4</v>
      </c>
      <c r="AU8">
        <v>4</v>
      </c>
      <c r="AV8">
        <v>6</v>
      </c>
      <c r="AW8">
        <v>6</v>
      </c>
      <c r="AX8">
        <v>5</v>
      </c>
      <c r="AY8">
        <v>5</v>
      </c>
      <c r="AZ8">
        <v>7</v>
      </c>
      <c r="BA8">
        <v>6</v>
      </c>
      <c r="BB8">
        <v>5</v>
      </c>
      <c r="BC8">
        <v>7</v>
      </c>
      <c r="BD8">
        <v>5</v>
      </c>
      <c r="BE8">
        <v>6</v>
      </c>
      <c r="BF8">
        <v>6</v>
      </c>
      <c r="BG8">
        <v>3</v>
      </c>
      <c r="BH8" t="s">
        <v>160</v>
      </c>
      <c r="BI8" t="s">
        <v>161</v>
      </c>
      <c r="BJ8" t="s">
        <v>71</v>
      </c>
      <c r="BK8" s="15">
        <v>2</v>
      </c>
      <c r="BL8">
        <v>17</v>
      </c>
      <c r="BM8">
        <v>15</v>
      </c>
      <c r="BN8">
        <v>0</v>
      </c>
      <c r="BO8">
        <v>26</v>
      </c>
      <c r="BP8">
        <v>24</v>
      </c>
      <c r="BQ8">
        <v>2</v>
      </c>
      <c r="BR8">
        <v>16</v>
      </c>
      <c r="BS8">
        <v>8</v>
      </c>
      <c r="BT8">
        <v>8</v>
      </c>
      <c r="BU8">
        <v>50</v>
      </c>
      <c r="BV8">
        <v>10109.25</v>
      </c>
      <c r="BW8" s="15">
        <f t="shared" si="0"/>
        <v>1</v>
      </c>
      <c r="BX8" s="15">
        <f t="shared" si="1"/>
        <v>1</v>
      </c>
      <c r="BY8">
        <f t="shared" si="2"/>
        <v>1</v>
      </c>
    </row>
    <row r="9" spans="1:77" x14ac:dyDescent="0.25">
      <c r="A9" t="s">
        <v>162</v>
      </c>
      <c r="B9" t="s">
        <v>163</v>
      </c>
      <c r="C9" s="14">
        <v>3</v>
      </c>
      <c r="D9" t="s">
        <v>66</v>
      </c>
      <c r="E9" s="14">
        <v>2</v>
      </c>
      <c r="F9" t="s">
        <v>164</v>
      </c>
      <c r="G9" t="s">
        <v>165</v>
      </c>
      <c r="H9" s="14">
        <v>2</v>
      </c>
      <c r="I9" t="s">
        <v>69</v>
      </c>
      <c r="J9" s="14">
        <v>4</v>
      </c>
      <c r="K9" t="s">
        <v>166</v>
      </c>
      <c r="L9" t="s">
        <v>167</v>
      </c>
      <c r="M9" t="s">
        <v>72</v>
      </c>
      <c r="N9" t="s">
        <v>73</v>
      </c>
      <c r="O9" t="s">
        <v>74</v>
      </c>
      <c r="P9" t="s">
        <v>75</v>
      </c>
      <c r="Q9" t="s">
        <v>76</v>
      </c>
      <c r="R9" t="s">
        <v>109</v>
      </c>
      <c r="S9" t="s">
        <v>78</v>
      </c>
      <c r="T9" t="s">
        <v>156</v>
      </c>
      <c r="U9" t="s">
        <v>111</v>
      </c>
      <c r="V9" t="s">
        <v>81</v>
      </c>
      <c r="W9" s="15">
        <v>7</v>
      </c>
      <c r="X9" t="s">
        <v>82</v>
      </c>
      <c r="Y9" s="14">
        <v>4</v>
      </c>
      <c r="Z9" t="s">
        <v>83</v>
      </c>
      <c r="AA9" t="s">
        <v>84</v>
      </c>
      <c r="AB9" s="14">
        <v>3</v>
      </c>
      <c r="AC9" t="s">
        <v>115</v>
      </c>
      <c r="AD9" s="14">
        <v>4</v>
      </c>
      <c r="AE9" t="s">
        <v>116</v>
      </c>
      <c r="AF9" s="14">
        <v>4</v>
      </c>
      <c r="AG9" t="s">
        <v>168</v>
      </c>
      <c r="AH9" t="s">
        <v>72</v>
      </c>
      <c r="AI9" t="s">
        <v>88</v>
      </c>
      <c r="AJ9" t="s">
        <v>308</v>
      </c>
      <c r="AK9" t="s">
        <v>90</v>
      </c>
      <c r="AL9" s="1" t="s">
        <v>256</v>
      </c>
      <c r="AM9" t="s">
        <v>169</v>
      </c>
      <c r="AN9" t="s">
        <v>309</v>
      </c>
      <c r="AO9" t="s">
        <v>171</v>
      </c>
      <c r="AP9" t="s">
        <v>94</v>
      </c>
      <c r="AQ9" t="s">
        <v>95</v>
      </c>
      <c r="AR9">
        <v>10</v>
      </c>
      <c r="AS9">
        <v>10</v>
      </c>
      <c r="AT9">
        <v>8</v>
      </c>
      <c r="AU9">
        <v>8</v>
      </c>
      <c r="AV9">
        <v>8</v>
      </c>
      <c r="AW9">
        <v>9</v>
      </c>
      <c r="AX9">
        <v>8</v>
      </c>
      <c r="AY9">
        <v>7</v>
      </c>
      <c r="AZ9">
        <v>8</v>
      </c>
      <c r="BA9">
        <v>8</v>
      </c>
      <c r="BB9">
        <v>8</v>
      </c>
      <c r="BC9">
        <v>8</v>
      </c>
      <c r="BD9">
        <v>7</v>
      </c>
      <c r="BE9">
        <v>9</v>
      </c>
      <c r="BF9">
        <v>9</v>
      </c>
      <c r="BG9">
        <v>10</v>
      </c>
      <c r="BH9" t="s">
        <v>172</v>
      </c>
      <c r="BI9" t="s">
        <v>173</v>
      </c>
      <c r="BJ9" t="s">
        <v>174</v>
      </c>
      <c r="BK9" s="15">
        <v>2</v>
      </c>
      <c r="BL9">
        <v>66</v>
      </c>
      <c r="BM9">
        <v>59</v>
      </c>
      <c r="BN9">
        <v>4</v>
      </c>
      <c r="BO9">
        <v>48</v>
      </c>
      <c r="BP9">
        <v>0</v>
      </c>
      <c r="BQ9">
        <v>0</v>
      </c>
      <c r="BR9">
        <v>27</v>
      </c>
      <c r="BS9">
        <v>22</v>
      </c>
      <c r="BT9">
        <v>5</v>
      </c>
      <c r="BU9">
        <v>81.48</v>
      </c>
      <c r="BV9">
        <v>9600.56</v>
      </c>
      <c r="BW9" s="15">
        <f t="shared" si="0"/>
        <v>3</v>
      </c>
      <c r="BX9" s="15">
        <f t="shared" si="1"/>
        <v>1</v>
      </c>
      <c r="BY9">
        <f t="shared" si="2"/>
        <v>1</v>
      </c>
    </row>
    <row r="10" spans="1:77" x14ac:dyDescent="0.25">
      <c r="A10" t="s">
        <v>175</v>
      </c>
      <c r="B10" t="s">
        <v>65</v>
      </c>
      <c r="C10" s="14">
        <v>2</v>
      </c>
      <c r="D10" t="s">
        <v>66</v>
      </c>
      <c r="E10" s="14">
        <v>2</v>
      </c>
      <c r="F10" t="s">
        <v>164</v>
      </c>
      <c r="G10" t="s">
        <v>165</v>
      </c>
      <c r="H10" s="14">
        <v>2</v>
      </c>
      <c r="I10" t="s">
        <v>69</v>
      </c>
      <c r="J10" s="14">
        <v>4</v>
      </c>
      <c r="K10" t="s">
        <v>174</v>
      </c>
      <c r="L10" t="s">
        <v>176</v>
      </c>
      <c r="M10" t="s">
        <v>72</v>
      </c>
      <c r="N10" t="s">
        <v>73</v>
      </c>
      <c r="O10" t="s">
        <v>177</v>
      </c>
      <c r="P10" t="s">
        <v>75</v>
      </c>
      <c r="Q10" t="s">
        <v>76</v>
      </c>
      <c r="R10" t="s">
        <v>109</v>
      </c>
      <c r="S10" t="s">
        <v>78</v>
      </c>
      <c r="T10" t="s">
        <v>79</v>
      </c>
      <c r="U10" t="s">
        <v>80</v>
      </c>
      <c r="V10" t="s">
        <v>81</v>
      </c>
      <c r="W10" s="15">
        <v>7</v>
      </c>
      <c r="X10" t="s">
        <v>134</v>
      </c>
      <c r="Y10" s="14">
        <v>2</v>
      </c>
      <c r="Z10" t="s">
        <v>83</v>
      </c>
      <c r="AA10" t="s">
        <v>114</v>
      </c>
      <c r="AB10" s="14">
        <v>2</v>
      </c>
      <c r="AC10" t="s">
        <v>178</v>
      </c>
      <c r="AD10" s="14">
        <v>1</v>
      </c>
      <c r="AE10" t="s">
        <v>179</v>
      </c>
      <c r="AF10" s="14">
        <v>2</v>
      </c>
      <c r="AG10" t="s">
        <v>180</v>
      </c>
      <c r="AH10" t="s">
        <v>72</v>
      </c>
      <c r="AI10" t="s">
        <v>88</v>
      </c>
      <c r="AJ10" t="s">
        <v>89</v>
      </c>
      <c r="AK10" t="s">
        <v>90</v>
      </c>
      <c r="AL10" s="1" t="s">
        <v>256</v>
      </c>
      <c r="AM10" t="s">
        <v>91</v>
      </c>
      <c r="AN10" t="s">
        <v>78</v>
      </c>
      <c r="AO10" t="s">
        <v>156</v>
      </c>
      <c r="AP10" t="s">
        <v>94</v>
      </c>
      <c r="AQ10" t="s">
        <v>95</v>
      </c>
      <c r="AR10">
        <v>8</v>
      </c>
      <c r="AS10">
        <v>4</v>
      </c>
      <c r="AT10">
        <v>8</v>
      </c>
      <c r="AU10">
        <v>5</v>
      </c>
      <c r="AV10">
        <v>6</v>
      </c>
      <c r="AW10">
        <v>3</v>
      </c>
      <c r="AX10">
        <v>1</v>
      </c>
      <c r="AY10">
        <v>5</v>
      </c>
      <c r="AZ10">
        <v>3</v>
      </c>
      <c r="BA10">
        <v>6</v>
      </c>
      <c r="BB10">
        <v>4</v>
      </c>
      <c r="BC10">
        <v>3</v>
      </c>
      <c r="BD10">
        <v>7</v>
      </c>
      <c r="BE10">
        <v>5</v>
      </c>
      <c r="BF10">
        <v>3</v>
      </c>
      <c r="BG10">
        <v>6</v>
      </c>
      <c r="BH10" t="s">
        <v>181</v>
      </c>
      <c r="BI10" t="s">
        <v>182</v>
      </c>
      <c r="BJ10" t="s">
        <v>174</v>
      </c>
      <c r="BK10" s="15">
        <v>3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40</v>
      </c>
      <c r="BS10">
        <v>28</v>
      </c>
      <c r="BT10">
        <v>12</v>
      </c>
      <c r="BU10">
        <v>70</v>
      </c>
      <c r="BV10">
        <v>13540.92</v>
      </c>
      <c r="BW10" s="15">
        <f t="shared" si="0"/>
        <v>1</v>
      </c>
      <c r="BX10" s="15">
        <f t="shared" si="1"/>
        <v>0</v>
      </c>
      <c r="BY10">
        <f t="shared" si="2"/>
        <v>0</v>
      </c>
    </row>
    <row r="11" spans="1:77" x14ac:dyDescent="0.25">
      <c r="A11" t="s">
        <v>183</v>
      </c>
      <c r="B11" t="s">
        <v>100</v>
      </c>
      <c r="C11" s="14">
        <v>1</v>
      </c>
      <c r="D11" t="s">
        <v>101</v>
      </c>
      <c r="E11" s="14">
        <v>1</v>
      </c>
      <c r="F11" t="s">
        <v>125</v>
      </c>
      <c r="G11" t="s">
        <v>103</v>
      </c>
      <c r="H11" s="14">
        <v>1</v>
      </c>
      <c r="I11" t="s">
        <v>126</v>
      </c>
      <c r="J11" s="14">
        <v>1</v>
      </c>
      <c r="K11" t="s">
        <v>184</v>
      </c>
      <c r="L11" t="s">
        <v>174</v>
      </c>
      <c r="M11" t="s">
        <v>128</v>
      </c>
      <c r="N11" t="s">
        <v>73</v>
      </c>
      <c r="O11" t="s">
        <v>185</v>
      </c>
      <c r="P11" t="s">
        <v>186</v>
      </c>
      <c r="Q11" t="s">
        <v>130</v>
      </c>
      <c r="R11" t="s">
        <v>77</v>
      </c>
      <c r="S11" t="s">
        <v>78</v>
      </c>
      <c r="T11" t="s">
        <v>131</v>
      </c>
      <c r="U11" t="s">
        <v>143</v>
      </c>
      <c r="V11" t="s">
        <v>133</v>
      </c>
      <c r="W11" s="15">
        <v>2</v>
      </c>
      <c r="X11" t="s">
        <v>187</v>
      </c>
      <c r="Y11" s="14">
        <v>1</v>
      </c>
      <c r="Z11" t="s">
        <v>113</v>
      </c>
      <c r="AA11" t="s">
        <v>114</v>
      </c>
      <c r="AB11" s="14">
        <v>2</v>
      </c>
      <c r="AC11" t="s">
        <v>85</v>
      </c>
      <c r="AD11" s="14">
        <v>2</v>
      </c>
      <c r="AE11" t="s">
        <v>179</v>
      </c>
      <c r="AF11" s="14">
        <v>2</v>
      </c>
      <c r="AG11" t="s">
        <v>188</v>
      </c>
      <c r="AH11" t="s">
        <v>72</v>
      </c>
      <c r="AI11" t="s">
        <v>88</v>
      </c>
      <c r="AJ11" t="s">
        <v>89</v>
      </c>
      <c r="AK11" t="s">
        <v>90</v>
      </c>
      <c r="AL11" t="s">
        <v>137</v>
      </c>
      <c r="AM11" t="s">
        <v>138</v>
      </c>
      <c r="AO11" t="s">
        <v>120</v>
      </c>
      <c r="AP11" t="s">
        <v>121</v>
      </c>
      <c r="AQ11" t="s">
        <v>95</v>
      </c>
      <c r="AR11">
        <v>5</v>
      </c>
      <c r="AS11">
        <v>4</v>
      </c>
      <c r="AT11">
        <v>3</v>
      </c>
      <c r="AU11">
        <v>3</v>
      </c>
      <c r="AV11">
        <v>2</v>
      </c>
      <c r="AW11">
        <v>3</v>
      </c>
      <c r="AX11">
        <v>4</v>
      </c>
      <c r="AY11">
        <v>4</v>
      </c>
      <c r="AZ11">
        <v>6</v>
      </c>
      <c r="BA11">
        <v>4</v>
      </c>
      <c r="BB11">
        <v>5</v>
      </c>
      <c r="BC11">
        <v>7</v>
      </c>
      <c r="BD11">
        <v>5</v>
      </c>
      <c r="BE11">
        <v>5</v>
      </c>
      <c r="BF11">
        <v>5</v>
      </c>
      <c r="BG11">
        <v>2</v>
      </c>
      <c r="BH11" t="s">
        <v>189</v>
      </c>
      <c r="BI11" t="s">
        <v>190</v>
      </c>
      <c r="BJ11" t="s">
        <v>174</v>
      </c>
      <c r="BK11" s="15">
        <v>2</v>
      </c>
      <c r="BL11">
        <v>24</v>
      </c>
      <c r="BM11">
        <v>24</v>
      </c>
      <c r="BN11">
        <v>56</v>
      </c>
      <c r="BO11">
        <v>66</v>
      </c>
      <c r="BP11">
        <v>34</v>
      </c>
      <c r="BQ11">
        <v>1</v>
      </c>
      <c r="BR11">
        <v>16</v>
      </c>
      <c r="BS11">
        <v>10</v>
      </c>
      <c r="BT11">
        <v>6</v>
      </c>
      <c r="BU11">
        <v>62.5</v>
      </c>
      <c r="BV11">
        <v>21062.81</v>
      </c>
      <c r="BW11" s="15">
        <f t="shared" si="0"/>
        <v>3</v>
      </c>
      <c r="BX11" s="15">
        <f t="shared" si="1"/>
        <v>0</v>
      </c>
      <c r="BY11">
        <f t="shared" si="2"/>
        <v>1</v>
      </c>
    </row>
    <row r="12" spans="1:77" x14ac:dyDescent="0.25">
      <c r="A12" t="s">
        <v>191</v>
      </c>
      <c r="B12" t="s">
        <v>163</v>
      </c>
      <c r="C12" s="14">
        <v>3</v>
      </c>
      <c r="D12" t="s">
        <v>192</v>
      </c>
      <c r="E12" s="14">
        <v>3</v>
      </c>
      <c r="F12" t="s">
        <v>193</v>
      </c>
      <c r="G12" t="s">
        <v>68</v>
      </c>
      <c r="H12" s="14">
        <v>3</v>
      </c>
      <c r="I12" t="s">
        <v>69</v>
      </c>
      <c r="J12" s="14">
        <v>4</v>
      </c>
      <c r="K12" t="s">
        <v>194</v>
      </c>
      <c r="L12" t="s">
        <v>195</v>
      </c>
      <c r="M12" t="s">
        <v>72</v>
      </c>
      <c r="N12" t="s">
        <v>73</v>
      </c>
      <c r="O12" t="s">
        <v>177</v>
      </c>
      <c r="P12" t="s">
        <v>75</v>
      </c>
      <c r="Q12" t="s">
        <v>76</v>
      </c>
      <c r="R12" t="s">
        <v>196</v>
      </c>
      <c r="S12" t="s">
        <v>92</v>
      </c>
      <c r="T12" t="s">
        <v>110</v>
      </c>
      <c r="U12" t="s">
        <v>132</v>
      </c>
      <c r="V12" t="s">
        <v>81</v>
      </c>
      <c r="W12" s="15">
        <v>8</v>
      </c>
      <c r="X12" t="s">
        <v>82</v>
      </c>
      <c r="Y12" s="14">
        <v>4</v>
      </c>
      <c r="Z12" t="s">
        <v>197</v>
      </c>
      <c r="AA12" t="s">
        <v>84</v>
      </c>
      <c r="AB12" s="14">
        <v>3</v>
      </c>
      <c r="AC12" t="s">
        <v>135</v>
      </c>
      <c r="AD12" s="14">
        <v>3</v>
      </c>
      <c r="AE12" t="s">
        <v>86</v>
      </c>
      <c r="AF12" s="14">
        <v>3</v>
      </c>
      <c r="AG12" t="s">
        <v>198</v>
      </c>
      <c r="AH12" t="s">
        <v>72</v>
      </c>
      <c r="AI12" t="s">
        <v>88</v>
      </c>
      <c r="AJ12" t="s">
        <v>89</v>
      </c>
      <c r="AK12" t="s">
        <v>90</v>
      </c>
      <c r="AL12" s="1" t="s">
        <v>256</v>
      </c>
      <c r="AM12" t="s">
        <v>169</v>
      </c>
      <c r="AN12" t="s">
        <v>78</v>
      </c>
      <c r="AO12" t="s">
        <v>171</v>
      </c>
      <c r="AP12" t="s">
        <v>94</v>
      </c>
      <c r="AQ12" t="s">
        <v>95</v>
      </c>
      <c r="AR12">
        <v>8</v>
      </c>
      <c r="AS12">
        <v>8</v>
      </c>
      <c r="AT12">
        <v>9</v>
      </c>
      <c r="AU12">
        <v>8</v>
      </c>
      <c r="AV12">
        <v>9</v>
      </c>
      <c r="AW12">
        <v>9</v>
      </c>
      <c r="AX12">
        <v>7</v>
      </c>
      <c r="AY12">
        <v>8</v>
      </c>
      <c r="AZ12">
        <v>10</v>
      </c>
      <c r="BA12">
        <v>9</v>
      </c>
      <c r="BB12">
        <v>7</v>
      </c>
      <c r="BC12">
        <v>8</v>
      </c>
      <c r="BD12">
        <v>4</v>
      </c>
      <c r="BE12">
        <v>7</v>
      </c>
      <c r="BF12">
        <v>9</v>
      </c>
      <c r="BG12">
        <v>9</v>
      </c>
      <c r="BH12" t="s">
        <v>199</v>
      </c>
      <c r="BI12" t="s">
        <v>200</v>
      </c>
      <c r="BK12" s="15">
        <v>1</v>
      </c>
      <c r="BL12">
        <v>76</v>
      </c>
      <c r="BM12">
        <v>47</v>
      </c>
      <c r="BN12">
        <v>4</v>
      </c>
      <c r="BO12">
        <v>131</v>
      </c>
      <c r="BP12">
        <v>136</v>
      </c>
      <c r="BQ12">
        <v>0</v>
      </c>
      <c r="BR12">
        <v>42</v>
      </c>
      <c r="BS12">
        <v>33</v>
      </c>
      <c r="BT12">
        <v>9</v>
      </c>
      <c r="BU12">
        <v>78.569999999999993</v>
      </c>
      <c r="BV12">
        <v>6832.57</v>
      </c>
      <c r="BW12" s="15">
        <f t="shared" si="0"/>
        <v>0</v>
      </c>
      <c r="BX12" s="15">
        <f t="shared" si="1"/>
        <v>1</v>
      </c>
      <c r="BY12">
        <f t="shared" si="2"/>
        <v>0</v>
      </c>
    </row>
    <row r="13" spans="1:77" x14ac:dyDescent="0.25">
      <c r="A13" t="s">
        <v>201</v>
      </c>
      <c r="B13" t="s">
        <v>65</v>
      </c>
      <c r="C13" s="14">
        <v>2</v>
      </c>
      <c r="D13" t="s">
        <v>101</v>
      </c>
      <c r="E13" s="14">
        <v>1</v>
      </c>
      <c r="F13" t="s">
        <v>125</v>
      </c>
      <c r="G13" t="s">
        <v>165</v>
      </c>
      <c r="H13" s="14">
        <v>2</v>
      </c>
      <c r="I13" t="s">
        <v>126</v>
      </c>
      <c r="J13" s="14">
        <v>1</v>
      </c>
      <c r="K13" t="s">
        <v>71</v>
      </c>
      <c r="L13" t="s">
        <v>71</v>
      </c>
      <c r="M13" t="s">
        <v>72</v>
      </c>
      <c r="N13" t="s">
        <v>73</v>
      </c>
      <c r="O13" t="s">
        <v>202</v>
      </c>
      <c r="P13" t="s">
        <v>75</v>
      </c>
      <c r="Q13" t="s">
        <v>130</v>
      </c>
      <c r="R13" t="s">
        <v>109</v>
      </c>
      <c r="S13" t="s">
        <v>92</v>
      </c>
      <c r="T13" t="s">
        <v>156</v>
      </c>
      <c r="U13" t="s">
        <v>80</v>
      </c>
      <c r="V13" t="s">
        <v>112</v>
      </c>
      <c r="W13" s="15">
        <v>7</v>
      </c>
      <c r="X13" t="s">
        <v>134</v>
      </c>
      <c r="Y13" s="14">
        <v>2</v>
      </c>
      <c r="Z13" t="s">
        <v>113</v>
      </c>
      <c r="AA13" t="s">
        <v>84</v>
      </c>
      <c r="AB13" s="14">
        <v>3</v>
      </c>
      <c r="AC13" t="s">
        <v>135</v>
      </c>
      <c r="AD13" s="14">
        <v>3</v>
      </c>
      <c r="AE13" t="s">
        <v>86</v>
      </c>
      <c r="AF13" s="14">
        <v>3</v>
      </c>
      <c r="AH13" t="s">
        <v>72</v>
      </c>
      <c r="AI13" t="s">
        <v>203</v>
      </c>
      <c r="AJ13" t="s">
        <v>89</v>
      </c>
      <c r="AK13" t="s">
        <v>90</v>
      </c>
      <c r="AL13" s="1" t="s">
        <v>256</v>
      </c>
      <c r="AM13" t="s">
        <v>91</v>
      </c>
      <c r="AN13" t="s">
        <v>170</v>
      </c>
      <c r="AO13" t="s">
        <v>171</v>
      </c>
      <c r="AP13" t="s">
        <v>94</v>
      </c>
      <c r="AQ13" t="s">
        <v>204</v>
      </c>
      <c r="AR13">
        <v>5</v>
      </c>
      <c r="AS13">
        <v>8</v>
      </c>
      <c r="AT13">
        <v>8</v>
      </c>
      <c r="AU13">
        <v>7</v>
      </c>
      <c r="AV13">
        <v>5</v>
      </c>
      <c r="AW13">
        <v>7</v>
      </c>
      <c r="AX13">
        <v>9</v>
      </c>
      <c r="AY13">
        <v>8</v>
      </c>
      <c r="AZ13">
        <v>8</v>
      </c>
      <c r="BA13">
        <v>7</v>
      </c>
      <c r="BB13">
        <v>8</v>
      </c>
      <c r="BC13">
        <v>8</v>
      </c>
      <c r="BD13">
        <v>8</v>
      </c>
      <c r="BE13">
        <v>8</v>
      </c>
      <c r="BF13">
        <v>8</v>
      </c>
      <c r="BG13">
        <v>6</v>
      </c>
      <c r="BH13" t="s">
        <v>205</v>
      </c>
      <c r="BI13" t="s">
        <v>123</v>
      </c>
      <c r="BJ13" t="s">
        <v>71</v>
      </c>
      <c r="BK13" s="15">
        <v>1</v>
      </c>
      <c r="BL13">
        <v>26</v>
      </c>
      <c r="BM13">
        <v>25</v>
      </c>
      <c r="BN13">
        <v>50</v>
      </c>
      <c r="BO13">
        <v>13</v>
      </c>
      <c r="BP13">
        <v>31</v>
      </c>
      <c r="BQ13">
        <v>0</v>
      </c>
      <c r="BR13">
        <v>32</v>
      </c>
      <c r="BS13">
        <v>19</v>
      </c>
      <c r="BT13">
        <v>13</v>
      </c>
      <c r="BU13">
        <v>59.38</v>
      </c>
      <c r="BV13">
        <v>9605.2199999999993</v>
      </c>
      <c r="BW13" s="15">
        <f t="shared" si="0"/>
        <v>-2</v>
      </c>
      <c r="BX13" s="15">
        <f t="shared" si="1"/>
        <v>0</v>
      </c>
      <c r="BY13">
        <f t="shared" si="2"/>
        <v>2</v>
      </c>
    </row>
    <row r="14" spans="1:77" x14ac:dyDescent="0.25">
      <c r="A14" t="s">
        <v>206</v>
      </c>
      <c r="B14" t="s">
        <v>163</v>
      </c>
      <c r="C14" s="14">
        <v>3</v>
      </c>
      <c r="D14" t="s">
        <v>192</v>
      </c>
      <c r="E14" s="14">
        <v>3</v>
      </c>
      <c r="F14" t="s">
        <v>193</v>
      </c>
      <c r="G14" t="s">
        <v>68</v>
      </c>
      <c r="H14" s="14">
        <v>3</v>
      </c>
      <c r="I14" t="s">
        <v>69</v>
      </c>
      <c r="J14" s="14">
        <v>4</v>
      </c>
      <c r="K14" t="s">
        <v>71</v>
      </c>
      <c r="L14" t="s">
        <v>207</v>
      </c>
      <c r="M14" t="s">
        <v>72</v>
      </c>
      <c r="N14" t="s">
        <v>73</v>
      </c>
      <c r="O14" t="s">
        <v>177</v>
      </c>
      <c r="P14" t="s">
        <v>75</v>
      </c>
      <c r="Q14" t="s">
        <v>76</v>
      </c>
      <c r="R14" t="s">
        <v>109</v>
      </c>
      <c r="S14" t="s">
        <v>78</v>
      </c>
      <c r="T14" t="s">
        <v>110</v>
      </c>
      <c r="U14" t="s">
        <v>80</v>
      </c>
      <c r="V14" t="s">
        <v>81</v>
      </c>
      <c r="W14" s="15">
        <v>8</v>
      </c>
      <c r="X14" t="s">
        <v>134</v>
      </c>
      <c r="Y14" s="14">
        <v>2</v>
      </c>
      <c r="Z14" t="s">
        <v>208</v>
      </c>
      <c r="AA14" t="s">
        <v>84</v>
      </c>
      <c r="AB14" s="14">
        <v>3</v>
      </c>
      <c r="AC14" t="s">
        <v>115</v>
      </c>
      <c r="AD14" s="14">
        <v>4</v>
      </c>
      <c r="AE14" t="s">
        <v>116</v>
      </c>
      <c r="AF14" s="14">
        <v>4</v>
      </c>
      <c r="AG14" t="s">
        <v>209</v>
      </c>
      <c r="AH14" t="s">
        <v>72</v>
      </c>
      <c r="AI14" t="s">
        <v>88</v>
      </c>
      <c r="AJ14" t="s">
        <v>89</v>
      </c>
      <c r="AK14" t="s">
        <v>90</v>
      </c>
      <c r="AL14" s="1" t="s">
        <v>256</v>
      </c>
      <c r="AM14" t="s">
        <v>169</v>
      </c>
      <c r="AN14" t="s">
        <v>78</v>
      </c>
      <c r="AO14" t="s">
        <v>171</v>
      </c>
      <c r="AP14" t="s">
        <v>94</v>
      </c>
      <c r="AQ14" t="s">
        <v>95</v>
      </c>
      <c r="AR14">
        <v>9</v>
      </c>
      <c r="AS14">
        <v>9</v>
      </c>
      <c r="AT14">
        <v>8</v>
      </c>
      <c r="AU14">
        <v>8</v>
      </c>
      <c r="AV14">
        <v>7</v>
      </c>
      <c r="AW14">
        <v>9</v>
      </c>
      <c r="AX14">
        <v>9</v>
      </c>
      <c r="AY14">
        <v>8</v>
      </c>
      <c r="AZ14">
        <v>9</v>
      </c>
      <c r="BA14">
        <v>7</v>
      </c>
      <c r="BB14">
        <v>7</v>
      </c>
      <c r="BC14">
        <v>8</v>
      </c>
      <c r="BD14">
        <v>6</v>
      </c>
      <c r="BE14">
        <v>9</v>
      </c>
      <c r="BF14">
        <v>9</v>
      </c>
      <c r="BG14">
        <v>10</v>
      </c>
      <c r="BH14" t="s">
        <v>210</v>
      </c>
      <c r="BI14" t="s">
        <v>211</v>
      </c>
      <c r="BJ14" t="s">
        <v>174</v>
      </c>
      <c r="BK14" s="15">
        <v>2</v>
      </c>
      <c r="BL14">
        <v>57</v>
      </c>
      <c r="BM14">
        <v>50</v>
      </c>
      <c r="BN14">
        <v>4</v>
      </c>
      <c r="BO14">
        <v>49</v>
      </c>
      <c r="BP14">
        <v>28</v>
      </c>
      <c r="BQ14">
        <v>2</v>
      </c>
      <c r="BR14">
        <v>29</v>
      </c>
      <c r="BS14">
        <v>26</v>
      </c>
      <c r="BT14">
        <v>3</v>
      </c>
      <c r="BU14">
        <v>89.66</v>
      </c>
      <c r="BV14">
        <v>3861.21</v>
      </c>
      <c r="BW14" s="15">
        <f t="shared" si="0"/>
        <v>1</v>
      </c>
      <c r="BX14" s="15">
        <f t="shared" si="1"/>
        <v>-1</v>
      </c>
      <c r="BY14">
        <f t="shared" si="2"/>
        <v>0</v>
      </c>
    </row>
    <row r="15" spans="1:77" x14ac:dyDescent="0.25">
      <c r="A15" t="s">
        <v>212</v>
      </c>
      <c r="B15" t="s">
        <v>100</v>
      </c>
      <c r="C15" s="14">
        <v>1</v>
      </c>
      <c r="D15" t="s">
        <v>101</v>
      </c>
      <c r="E15" s="14">
        <v>1</v>
      </c>
      <c r="F15" t="s">
        <v>125</v>
      </c>
      <c r="G15" t="s">
        <v>103</v>
      </c>
      <c r="H15" s="14">
        <v>1</v>
      </c>
      <c r="I15" t="s">
        <v>126</v>
      </c>
      <c r="J15" s="14">
        <v>1</v>
      </c>
      <c r="K15" t="s">
        <v>213</v>
      </c>
      <c r="L15" t="s">
        <v>214</v>
      </c>
      <c r="M15" t="s">
        <v>72</v>
      </c>
      <c r="N15" t="s">
        <v>106</v>
      </c>
      <c r="O15" t="s">
        <v>185</v>
      </c>
      <c r="P15" t="s">
        <v>107</v>
      </c>
      <c r="Q15" t="s">
        <v>76</v>
      </c>
      <c r="R15" t="s">
        <v>77</v>
      </c>
      <c r="S15" t="s">
        <v>92</v>
      </c>
      <c r="T15" t="s">
        <v>156</v>
      </c>
      <c r="U15" t="s">
        <v>111</v>
      </c>
      <c r="V15" t="s">
        <v>112</v>
      </c>
      <c r="W15" s="15">
        <v>4</v>
      </c>
      <c r="X15" t="s">
        <v>187</v>
      </c>
      <c r="Y15" s="14">
        <v>1</v>
      </c>
      <c r="Z15" t="s">
        <v>113</v>
      </c>
      <c r="AA15" t="s">
        <v>114</v>
      </c>
      <c r="AB15" s="14">
        <v>2</v>
      </c>
      <c r="AC15" t="s">
        <v>85</v>
      </c>
      <c r="AD15" s="14">
        <v>2</v>
      </c>
      <c r="AE15" t="s">
        <v>215</v>
      </c>
      <c r="AF15" s="14">
        <v>2</v>
      </c>
      <c r="AG15" t="s">
        <v>216</v>
      </c>
      <c r="AH15" t="s">
        <v>72</v>
      </c>
      <c r="AI15" t="s">
        <v>118</v>
      </c>
      <c r="AJ15" t="s">
        <v>89</v>
      </c>
      <c r="AK15" t="s">
        <v>90</v>
      </c>
      <c r="AL15" s="2" t="s">
        <v>256</v>
      </c>
      <c r="AM15" t="s">
        <v>169</v>
      </c>
      <c r="AN15" t="s">
        <v>92</v>
      </c>
      <c r="AO15" t="s">
        <v>171</v>
      </c>
      <c r="AP15" t="s">
        <v>217</v>
      </c>
      <c r="AQ15" t="s">
        <v>218</v>
      </c>
      <c r="AR15">
        <v>8</v>
      </c>
      <c r="AS15">
        <v>5</v>
      </c>
      <c r="AT15">
        <v>5</v>
      </c>
      <c r="AU15">
        <v>1</v>
      </c>
      <c r="AV15">
        <v>5</v>
      </c>
      <c r="AW15">
        <v>5</v>
      </c>
      <c r="AX15">
        <v>5</v>
      </c>
      <c r="AY15">
        <v>6</v>
      </c>
      <c r="AZ15">
        <v>4</v>
      </c>
      <c r="BA15">
        <v>2</v>
      </c>
      <c r="BB15">
        <v>5</v>
      </c>
      <c r="BC15">
        <v>6</v>
      </c>
      <c r="BD15">
        <v>6</v>
      </c>
      <c r="BE15">
        <v>5</v>
      </c>
      <c r="BF15">
        <v>5</v>
      </c>
      <c r="BG15">
        <v>2</v>
      </c>
      <c r="BH15" t="s">
        <v>219</v>
      </c>
      <c r="BI15" t="s">
        <v>220</v>
      </c>
      <c r="BJ15" t="s">
        <v>221</v>
      </c>
      <c r="BK15" s="15">
        <v>1</v>
      </c>
      <c r="BL15">
        <v>30</v>
      </c>
      <c r="BM15">
        <v>19</v>
      </c>
      <c r="BN15">
        <v>24</v>
      </c>
      <c r="BO15">
        <v>50</v>
      </c>
      <c r="BP15">
        <v>50</v>
      </c>
      <c r="BQ15">
        <v>0</v>
      </c>
      <c r="BR15">
        <v>46</v>
      </c>
      <c r="BS15">
        <v>16</v>
      </c>
      <c r="BT15">
        <v>30</v>
      </c>
      <c r="BU15">
        <v>34.78</v>
      </c>
      <c r="BV15">
        <v>6304.63</v>
      </c>
      <c r="BW15" s="15">
        <f t="shared" si="0"/>
        <v>4</v>
      </c>
      <c r="BX15" s="15">
        <f t="shared" si="1"/>
        <v>0</v>
      </c>
      <c r="BY15">
        <f t="shared" si="2"/>
        <v>1</v>
      </c>
    </row>
    <row r="16" spans="1:77" x14ac:dyDescent="0.25">
      <c r="A16" t="s">
        <v>222</v>
      </c>
      <c r="B16" t="s">
        <v>163</v>
      </c>
      <c r="C16" s="14">
        <v>3</v>
      </c>
      <c r="D16" t="s">
        <v>66</v>
      </c>
      <c r="E16" s="14">
        <v>2</v>
      </c>
      <c r="F16" t="s">
        <v>164</v>
      </c>
      <c r="G16" t="s">
        <v>68</v>
      </c>
      <c r="H16" s="14">
        <v>3</v>
      </c>
      <c r="I16" t="s">
        <v>69</v>
      </c>
      <c r="J16" s="14">
        <v>4</v>
      </c>
      <c r="L16" t="s">
        <v>71</v>
      </c>
      <c r="M16" t="s">
        <v>72</v>
      </c>
      <c r="N16" t="s">
        <v>73</v>
      </c>
      <c r="O16" t="s">
        <v>74</v>
      </c>
      <c r="P16" t="s">
        <v>75</v>
      </c>
      <c r="Q16" t="s">
        <v>76</v>
      </c>
      <c r="R16" t="s">
        <v>109</v>
      </c>
      <c r="S16" t="s">
        <v>92</v>
      </c>
      <c r="T16" t="s">
        <v>156</v>
      </c>
      <c r="U16" t="s">
        <v>132</v>
      </c>
      <c r="V16" t="s">
        <v>81</v>
      </c>
      <c r="W16" s="15">
        <v>8</v>
      </c>
      <c r="X16" t="s">
        <v>134</v>
      </c>
      <c r="Y16" s="14">
        <v>2</v>
      </c>
      <c r="Z16" t="s">
        <v>83</v>
      </c>
      <c r="AA16" t="s">
        <v>114</v>
      </c>
      <c r="AB16" s="14">
        <v>2</v>
      </c>
      <c r="AC16" t="s">
        <v>178</v>
      </c>
      <c r="AD16" s="14">
        <v>1</v>
      </c>
      <c r="AE16" t="s">
        <v>179</v>
      </c>
      <c r="AF16" s="14">
        <v>2</v>
      </c>
      <c r="AG16" t="s">
        <v>223</v>
      </c>
      <c r="AH16" t="s">
        <v>72</v>
      </c>
      <c r="AI16" t="s">
        <v>88</v>
      </c>
      <c r="AJ16" t="s">
        <v>146</v>
      </c>
      <c r="AK16" t="s">
        <v>90</v>
      </c>
      <c r="AL16" s="2" t="s">
        <v>256</v>
      </c>
      <c r="AM16" t="s">
        <v>169</v>
      </c>
      <c r="AN16" t="s">
        <v>92</v>
      </c>
      <c r="AO16" t="s">
        <v>171</v>
      </c>
      <c r="AP16" t="s">
        <v>94</v>
      </c>
      <c r="AQ16" t="s">
        <v>95</v>
      </c>
      <c r="AR16">
        <v>9</v>
      </c>
      <c r="AS16">
        <v>2</v>
      </c>
      <c r="AT16">
        <v>6</v>
      </c>
      <c r="AU16">
        <v>6</v>
      </c>
      <c r="AV16">
        <v>4</v>
      </c>
      <c r="AW16">
        <v>2</v>
      </c>
      <c r="AX16">
        <v>1</v>
      </c>
      <c r="AY16">
        <v>5</v>
      </c>
      <c r="AZ16">
        <v>2</v>
      </c>
      <c r="BA16">
        <v>6</v>
      </c>
      <c r="BB16">
        <v>6</v>
      </c>
      <c r="BC16">
        <v>2</v>
      </c>
      <c r="BD16">
        <v>8</v>
      </c>
      <c r="BE16">
        <v>2</v>
      </c>
      <c r="BF16">
        <v>3</v>
      </c>
      <c r="BG16">
        <v>6</v>
      </c>
      <c r="BH16" t="s">
        <v>224</v>
      </c>
      <c r="BI16" t="s">
        <v>225</v>
      </c>
      <c r="BJ16" t="s">
        <v>174</v>
      </c>
      <c r="BK16" s="15">
        <v>3</v>
      </c>
      <c r="BL16">
        <v>0</v>
      </c>
      <c r="BM16">
        <v>0</v>
      </c>
      <c r="BN16">
        <v>4</v>
      </c>
      <c r="BO16">
        <v>49</v>
      </c>
      <c r="BP16">
        <v>28</v>
      </c>
      <c r="BQ16">
        <v>30</v>
      </c>
      <c r="BR16">
        <v>41</v>
      </c>
      <c r="BS16">
        <v>28</v>
      </c>
      <c r="BT16">
        <v>13</v>
      </c>
      <c r="BU16">
        <v>68.290000000000006</v>
      </c>
      <c r="BV16">
        <v>12843.41</v>
      </c>
      <c r="BW16" s="15">
        <f t="shared" si="0"/>
        <v>1</v>
      </c>
      <c r="BX16" s="15">
        <f t="shared" si="1"/>
        <v>-1</v>
      </c>
      <c r="BY16">
        <f t="shared" si="2"/>
        <v>0</v>
      </c>
    </row>
    <row r="17" spans="1:77" x14ac:dyDescent="0.25">
      <c r="A17" t="s">
        <v>226</v>
      </c>
      <c r="B17" t="s">
        <v>65</v>
      </c>
      <c r="C17" s="14">
        <v>2</v>
      </c>
      <c r="D17" t="s">
        <v>66</v>
      </c>
      <c r="E17" s="14">
        <v>2</v>
      </c>
      <c r="F17" t="s">
        <v>125</v>
      </c>
      <c r="G17" t="s">
        <v>68</v>
      </c>
      <c r="H17" s="14">
        <v>3</v>
      </c>
      <c r="I17" t="s">
        <v>69</v>
      </c>
      <c r="J17" s="14">
        <v>4</v>
      </c>
      <c r="K17" t="s">
        <v>71</v>
      </c>
      <c r="L17" t="s">
        <v>227</v>
      </c>
      <c r="M17" t="s">
        <v>72</v>
      </c>
      <c r="N17" t="s">
        <v>73</v>
      </c>
      <c r="O17" t="s">
        <v>177</v>
      </c>
      <c r="P17" t="s">
        <v>75</v>
      </c>
      <c r="Q17" t="s">
        <v>76</v>
      </c>
      <c r="R17" t="s">
        <v>77</v>
      </c>
      <c r="S17" t="s">
        <v>92</v>
      </c>
      <c r="T17" t="s">
        <v>110</v>
      </c>
      <c r="U17" t="s">
        <v>132</v>
      </c>
      <c r="V17" t="s">
        <v>81</v>
      </c>
      <c r="W17" s="15">
        <v>6</v>
      </c>
      <c r="X17" t="s">
        <v>134</v>
      </c>
      <c r="Y17" s="14">
        <v>2</v>
      </c>
      <c r="Z17" t="s">
        <v>83</v>
      </c>
      <c r="AA17" t="s">
        <v>84</v>
      </c>
      <c r="AB17" s="14">
        <v>3</v>
      </c>
      <c r="AC17" t="s">
        <v>135</v>
      </c>
      <c r="AD17" s="14">
        <v>3</v>
      </c>
      <c r="AE17" t="s">
        <v>86</v>
      </c>
      <c r="AF17" s="14">
        <v>3</v>
      </c>
      <c r="AH17" t="s">
        <v>72</v>
      </c>
      <c r="AI17" t="s">
        <v>88</v>
      </c>
      <c r="AJ17" t="s">
        <v>89</v>
      </c>
      <c r="AK17" t="s">
        <v>90</v>
      </c>
      <c r="AL17" s="1" t="s">
        <v>256</v>
      </c>
      <c r="AM17" t="s">
        <v>169</v>
      </c>
      <c r="AN17" t="s">
        <v>92</v>
      </c>
      <c r="AO17" t="s">
        <v>171</v>
      </c>
      <c r="AP17" t="s">
        <v>94</v>
      </c>
      <c r="AQ17" t="s">
        <v>95</v>
      </c>
      <c r="AR17">
        <v>10</v>
      </c>
      <c r="AS17">
        <v>7</v>
      </c>
      <c r="AT17">
        <v>8</v>
      </c>
      <c r="AU17">
        <v>6</v>
      </c>
      <c r="AV17">
        <v>7</v>
      </c>
      <c r="AW17">
        <v>7</v>
      </c>
      <c r="AX17">
        <v>7</v>
      </c>
      <c r="AY17">
        <v>6</v>
      </c>
      <c r="AZ17">
        <v>7</v>
      </c>
      <c r="BA17">
        <v>7</v>
      </c>
      <c r="BB17">
        <v>8</v>
      </c>
      <c r="BC17">
        <v>7</v>
      </c>
      <c r="BD17">
        <v>6</v>
      </c>
      <c r="BE17">
        <v>7</v>
      </c>
      <c r="BF17">
        <v>8</v>
      </c>
      <c r="BG17">
        <v>8</v>
      </c>
      <c r="BH17" t="s">
        <v>228</v>
      </c>
      <c r="BI17" t="s">
        <v>229</v>
      </c>
      <c r="BJ17" t="s">
        <v>174</v>
      </c>
      <c r="BK17" s="15">
        <v>2</v>
      </c>
      <c r="BL17">
        <v>48</v>
      </c>
      <c r="BM17">
        <v>48</v>
      </c>
      <c r="BN17">
        <v>10</v>
      </c>
      <c r="BO17">
        <v>59</v>
      </c>
      <c r="BP17">
        <v>30</v>
      </c>
      <c r="BQ17">
        <v>3</v>
      </c>
      <c r="BR17">
        <v>36</v>
      </c>
      <c r="BS17">
        <v>26</v>
      </c>
      <c r="BT17">
        <v>10</v>
      </c>
      <c r="BU17">
        <v>72.22</v>
      </c>
      <c r="BV17">
        <v>4096.33</v>
      </c>
      <c r="BW17" s="15">
        <f t="shared" si="0"/>
        <v>4</v>
      </c>
      <c r="BX17" s="15">
        <f t="shared" si="1"/>
        <v>0</v>
      </c>
      <c r="BY17">
        <f t="shared" si="2"/>
        <v>1</v>
      </c>
    </row>
    <row r="18" spans="1:77" x14ac:dyDescent="0.25">
      <c r="A18" t="s">
        <v>230</v>
      </c>
      <c r="B18" t="s">
        <v>100</v>
      </c>
      <c r="C18" s="14">
        <v>1</v>
      </c>
      <c r="D18" t="s">
        <v>101</v>
      </c>
      <c r="E18" s="14">
        <v>1</v>
      </c>
      <c r="F18" t="s">
        <v>125</v>
      </c>
      <c r="G18" t="s">
        <v>103</v>
      </c>
      <c r="H18" s="14">
        <v>1</v>
      </c>
      <c r="I18" t="s">
        <v>126</v>
      </c>
      <c r="J18" s="14">
        <v>1</v>
      </c>
      <c r="K18" t="s">
        <v>71</v>
      </c>
      <c r="L18" t="s">
        <v>71</v>
      </c>
      <c r="M18" t="s">
        <v>128</v>
      </c>
      <c r="N18" t="s">
        <v>106</v>
      </c>
      <c r="O18" t="s">
        <v>74</v>
      </c>
      <c r="P18" t="s">
        <v>75</v>
      </c>
      <c r="Q18" t="s">
        <v>130</v>
      </c>
      <c r="R18" t="s">
        <v>77</v>
      </c>
      <c r="S18" t="s">
        <v>78</v>
      </c>
      <c r="T18" t="s">
        <v>131</v>
      </c>
      <c r="U18" t="s">
        <v>132</v>
      </c>
      <c r="V18" t="s">
        <v>133</v>
      </c>
      <c r="W18" s="15">
        <v>1</v>
      </c>
      <c r="X18" t="s">
        <v>187</v>
      </c>
      <c r="Y18" s="14">
        <v>1</v>
      </c>
      <c r="Z18" t="s">
        <v>113</v>
      </c>
      <c r="AA18" t="s">
        <v>231</v>
      </c>
      <c r="AB18" s="14">
        <v>1</v>
      </c>
      <c r="AC18" t="s">
        <v>178</v>
      </c>
      <c r="AD18" s="14">
        <v>1</v>
      </c>
      <c r="AE18" t="s">
        <v>215</v>
      </c>
      <c r="AF18" s="14">
        <v>1</v>
      </c>
      <c r="AH18" t="s">
        <v>72</v>
      </c>
      <c r="AI18" t="s">
        <v>88</v>
      </c>
      <c r="AJ18" t="s">
        <v>158</v>
      </c>
      <c r="AK18" t="s">
        <v>90</v>
      </c>
      <c r="AL18" s="2" t="s">
        <v>137</v>
      </c>
      <c r="AM18" t="s">
        <v>138</v>
      </c>
      <c r="AN18" t="s">
        <v>78</v>
      </c>
      <c r="AO18" t="s">
        <v>120</v>
      </c>
      <c r="AP18" t="s">
        <v>217</v>
      </c>
      <c r="AQ18" t="s">
        <v>95</v>
      </c>
      <c r="AR18">
        <v>4</v>
      </c>
      <c r="AS18">
        <v>3</v>
      </c>
      <c r="AT18">
        <v>4</v>
      </c>
      <c r="AU18">
        <v>1</v>
      </c>
      <c r="AV18">
        <v>4</v>
      </c>
      <c r="AW18">
        <v>2</v>
      </c>
      <c r="AX18">
        <v>2</v>
      </c>
      <c r="AY18">
        <v>4</v>
      </c>
      <c r="AZ18">
        <v>1</v>
      </c>
      <c r="BA18">
        <v>3</v>
      </c>
      <c r="BB18">
        <v>5</v>
      </c>
      <c r="BC18">
        <v>1</v>
      </c>
      <c r="BD18">
        <v>6</v>
      </c>
      <c r="BE18">
        <v>2</v>
      </c>
      <c r="BF18">
        <v>2</v>
      </c>
      <c r="BG18">
        <v>3</v>
      </c>
      <c r="BH18" t="s">
        <v>232</v>
      </c>
      <c r="BI18" t="s">
        <v>233</v>
      </c>
      <c r="BJ18" t="s">
        <v>174</v>
      </c>
      <c r="BK18" s="15">
        <v>3</v>
      </c>
      <c r="BL18">
        <v>0</v>
      </c>
      <c r="BM18">
        <v>0</v>
      </c>
      <c r="BN18">
        <v>1</v>
      </c>
      <c r="BO18">
        <v>1</v>
      </c>
      <c r="BP18">
        <v>1</v>
      </c>
      <c r="BQ18">
        <v>10</v>
      </c>
      <c r="BR18">
        <v>18</v>
      </c>
      <c r="BS18">
        <v>8</v>
      </c>
      <c r="BT18">
        <v>10</v>
      </c>
      <c r="BU18">
        <v>44.44</v>
      </c>
      <c r="BV18">
        <v>22555.439999999999</v>
      </c>
      <c r="BW18" s="15">
        <f t="shared" si="0"/>
        <v>3</v>
      </c>
      <c r="BX18" s="15">
        <f t="shared" si="1"/>
        <v>0</v>
      </c>
      <c r="BY18">
        <f t="shared" si="2"/>
        <v>0</v>
      </c>
    </row>
    <row r="19" spans="1:77" x14ac:dyDescent="0.25">
      <c r="A19" t="s">
        <v>234</v>
      </c>
      <c r="B19" t="s">
        <v>100</v>
      </c>
      <c r="C19" s="14">
        <v>1</v>
      </c>
      <c r="D19" t="s">
        <v>66</v>
      </c>
      <c r="E19" s="14">
        <v>1</v>
      </c>
      <c r="F19" t="s">
        <v>235</v>
      </c>
      <c r="G19" t="s">
        <v>68</v>
      </c>
      <c r="H19" s="14">
        <v>3</v>
      </c>
      <c r="I19" t="s">
        <v>236</v>
      </c>
      <c r="J19" s="14">
        <v>2</v>
      </c>
      <c r="L19" t="s">
        <v>237</v>
      </c>
      <c r="M19" t="s">
        <v>72</v>
      </c>
      <c r="N19" t="s">
        <v>73</v>
      </c>
      <c r="O19" t="s">
        <v>177</v>
      </c>
      <c r="P19" t="s">
        <v>75</v>
      </c>
      <c r="Q19" t="s">
        <v>76</v>
      </c>
      <c r="R19" t="s">
        <v>196</v>
      </c>
      <c r="S19" t="s">
        <v>92</v>
      </c>
      <c r="T19" t="s">
        <v>110</v>
      </c>
      <c r="U19" t="s">
        <v>80</v>
      </c>
      <c r="V19" t="s">
        <v>81</v>
      </c>
      <c r="W19" s="15">
        <v>9</v>
      </c>
      <c r="X19" t="s">
        <v>134</v>
      </c>
      <c r="Y19" s="14">
        <v>2</v>
      </c>
      <c r="Z19" t="s">
        <v>208</v>
      </c>
      <c r="AA19" t="s">
        <v>84</v>
      </c>
      <c r="AB19" s="14">
        <v>2</v>
      </c>
      <c r="AC19" t="s">
        <v>85</v>
      </c>
      <c r="AD19" s="14">
        <v>2</v>
      </c>
      <c r="AE19" t="s">
        <v>86</v>
      </c>
      <c r="AF19" s="14">
        <v>3</v>
      </c>
      <c r="AH19" t="s">
        <v>72</v>
      </c>
      <c r="AI19" t="s">
        <v>88</v>
      </c>
      <c r="AJ19" t="s">
        <v>89</v>
      </c>
      <c r="AK19" t="s">
        <v>90</v>
      </c>
      <c r="AL19" s="1" t="s">
        <v>256</v>
      </c>
      <c r="AM19" t="s">
        <v>169</v>
      </c>
      <c r="AN19" t="s">
        <v>92</v>
      </c>
      <c r="AO19" t="s">
        <v>120</v>
      </c>
      <c r="AP19" t="s">
        <v>94</v>
      </c>
      <c r="AQ19" t="s">
        <v>95</v>
      </c>
      <c r="AR19">
        <v>9</v>
      </c>
      <c r="AS19">
        <v>7</v>
      </c>
      <c r="AT19">
        <v>7</v>
      </c>
      <c r="AU19">
        <v>7</v>
      </c>
      <c r="AV19">
        <v>8</v>
      </c>
      <c r="AW19">
        <v>7</v>
      </c>
      <c r="AX19">
        <v>8</v>
      </c>
      <c r="AY19">
        <v>7</v>
      </c>
      <c r="AZ19">
        <v>9</v>
      </c>
      <c r="BA19">
        <v>6</v>
      </c>
      <c r="BB19">
        <v>6</v>
      </c>
      <c r="BC19">
        <v>8</v>
      </c>
      <c r="BD19">
        <v>6</v>
      </c>
      <c r="BE19">
        <v>7</v>
      </c>
      <c r="BF19">
        <v>7</v>
      </c>
      <c r="BG19">
        <v>6</v>
      </c>
      <c r="BH19" t="s">
        <v>238</v>
      </c>
      <c r="BI19" t="s">
        <v>239</v>
      </c>
      <c r="BJ19" t="s">
        <v>240</v>
      </c>
      <c r="BK19" s="15">
        <v>2</v>
      </c>
      <c r="BL19">
        <v>33</v>
      </c>
      <c r="BM19">
        <v>31</v>
      </c>
      <c r="BN19">
        <v>2</v>
      </c>
      <c r="BO19">
        <v>35</v>
      </c>
      <c r="BP19">
        <v>4</v>
      </c>
      <c r="BQ19">
        <v>0</v>
      </c>
      <c r="BR19">
        <v>30</v>
      </c>
      <c r="BS19">
        <v>17</v>
      </c>
      <c r="BT19">
        <v>13</v>
      </c>
      <c r="BU19">
        <v>56.67</v>
      </c>
      <c r="BV19">
        <v>15562</v>
      </c>
      <c r="BW19" s="15">
        <f t="shared" si="0"/>
        <v>0</v>
      </c>
      <c r="BX19" s="15">
        <f t="shared" si="1"/>
        <v>1</v>
      </c>
      <c r="BY19">
        <f t="shared" si="2"/>
        <v>1</v>
      </c>
    </row>
    <row r="20" spans="1:77" x14ac:dyDescent="0.25">
      <c r="A20" t="s">
        <v>241</v>
      </c>
      <c r="B20" t="s">
        <v>163</v>
      </c>
      <c r="C20" s="14">
        <v>3</v>
      </c>
      <c r="D20" t="s">
        <v>192</v>
      </c>
      <c r="E20" s="14">
        <v>3</v>
      </c>
      <c r="F20" t="s">
        <v>193</v>
      </c>
      <c r="G20" t="s">
        <v>68</v>
      </c>
      <c r="H20" s="14">
        <v>3</v>
      </c>
      <c r="I20" t="s">
        <v>69</v>
      </c>
      <c r="J20" s="14">
        <v>4</v>
      </c>
      <c r="M20" t="s">
        <v>72</v>
      </c>
      <c r="N20" t="s">
        <v>73</v>
      </c>
      <c r="O20" t="s">
        <v>177</v>
      </c>
      <c r="P20" t="s">
        <v>75</v>
      </c>
      <c r="Q20" t="s">
        <v>76</v>
      </c>
      <c r="R20" t="s">
        <v>196</v>
      </c>
      <c r="S20" t="s">
        <v>92</v>
      </c>
      <c r="T20" t="s">
        <v>110</v>
      </c>
      <c r="U20" t="s">
        <v>80</v>
      </c>
      <c r="V20" t="s">
        <v>81</v>
      </c>
      <c r="W20" s="15">
        <v>9</v>
      </c>
      <c r="X20" t="s">
        <v>82</v>
      </c>
      <c r="Y20" s="14">
        <v>4</v>
      </c>
      <c r="Z20" t="s">
        <v>208</v>
      </c>
      <c r="AA20" s="1" t="s">
        <v>84</v>
      </c>
      <c r="AB20" s="14">
        <v>2</v>
      </c>
      <c r="AC20" t="s">
        <v>135</v>
      </c>
      <c r="AD20" s="14">
        <v>3</v>
      </c>
      <c r="AE20" t="s">
        <v>86</v>
      </c>
      <c r="AF20" s="14">
        <v>3</v>
      </c>
      <c r="AH20" t="s">
        <v>72</v>
      </c>
      <c r="AI20" t="s">
        <v>88</v>
      </c>
      <c r="AJ20" t="s">
        <v>89</v>
      </c>
      <c r="AK20" t="s">
        <v>90</v>
      </c>
      <c r="AL20" s="2" t="s">
        <v>256</v>
      </c>
      <c r="AM20" t="s">
        <v>169</v>
      </c>
      <c r="AN20" t="s">
        <v>92</v>
      </c>
      <c r="AO20" t="s">
        <v>171</v>
      </c>
      <c r="AP20" t="s">
        <v>94</v>
      </c>
      <c r="AQ20" t="s">
        <v>95</v>
      </c>
      <c r="AR20">
        <v>10</v>
      </c>
      <c r="AS20">
        <v>7</v>
      </c>
      <c r="AT20">
        <v>9</v>
      </c>
      <c r="AU20">
        <v>9</v>
      </c>
      <c r="AV20">
        <v>8</v>
      </c>
      <c r="AW20">
        <v>8</v>
      </c>
      <c r="AX20">
        <v>7</v>
      </c>
      <c r="AY20">
        <v>8</v>
      </c>
      <c r="AZ20">
        <v>8</v>
      </c>
      <c r="BA20">
        <v>7</v>
      </c>
      <c r="BB20">
        <v>9</v>
      </c>
      <c r="BC20">
        <v>7</v>
      </c>
      <c r="BD20">
        <v>7</v>
      </c>
      <c r="BE20">
        <v>8</v>
      </c>
      <c r="BF20">
        <v>8</v>
      </c>
      <c r="BG20">
        <v>9</v>
      </c>
      <c r="BH20" t="s">
        <v>242</v>
      </c>
      <c r="BI20" t="s">
        <v>243</v>
      </c>
      <c r="BJ20" t="s">
        <v>174</v>
      </c>
      <c r="BK20" s="15">
        <v>2</v>
      </c>
      <c r="BL20">
        <v>48</v>
      </c>
      <c r="BM20">
        <v>48</v>
      </c>
      <c r="BN20">
        <v>2</v>
      </c>
      <c r="BO20">
        <v>42</v>
      </c>
      <c r="BP20">
        <v>30</v>
      </c>
      <c r="BQ20">
        <v>1</v>
      </c>
      <c r="BR20">
        <v>27</v>
      </c>
      <c r="BS20">
        <v>23</v>
      </c>
      <c r="BT20">
        <v>4</v>
      </c>
      <c r="BU20">
        <v>85.97</v>
      </c>
      <c r="BV20">
        <v>5462.78</v>
      </c>
      <c r="BW20" s="15">
        <f t="shared" si="0"/>
        <v>1</v>
      </c>
      <c r="BX20" s="15">
        <f t="shared" si="1"/>
        <v>1</v>
      </c>
      <c r="BY20">
        <f t="shared" si="2"/>
        <v>-1</v>
      </c>
    </row>
    <row r="21" spans="1:77" x14ac:dyDescent="0.25">
      <c r="A21" t="s">
        <v>244</v>
      </c>
      <c r="B21" t="s">
        <v>163</v>
      </c>
      <c r="C21" s="14">
        <v>3</v>
      </c>
      <c r="D21" t="s">
        <v>66</v>
      </c>
      <c r="E21" s="14">
        <v>2</v>
      </c>
      <c r="F21" t="s">
        <v>67</v>
      </c>
      <c r="G21" t="s">
        <v>68</v>
      </c>
      <c r="H21" s="14">
        <v>3</v>
      </c>
      <c r="I21" t="s">
        <v>69</v>
      </c>
      <c r="J21" s="14">
        <v>4</v>
      </c>
      <c r="L21" t="s">
        <v>245</v>
      </c>
      <c r="M21" t="s">
        <v>72</v>
      </c>
      <c r="N21" t="s">
        <v>73</v>
      </c>
      <c r="O21" t="s">
        <v>177</v>
      </c>
      <c r="P21" t="s">
        <v>75</v>
      </c>
      <c r="Q21" t="s">
        <v>76</v>
      </c>
      <c r="R21" t="s">
        <v>109</v>
      </c>
      <c r="S21" t="s">
        <v>92</v>
      </c>
      <c r="T21" t="s">
        <v>110</v>
      </c>
      <c r="U21" t="s">
        <v>80</v>
      </c>
      <c r="V21" t="s">
        <v>133</v>
      </c>
      <c r="W21" s="15">
        <v>7</v>
      </c>
      <c r="X21" t="s">
        <v>82</v>
      </c>
      <c r="Y21" s="14">
        <v>4</v>
      </c>
      <c r="Z21" t="s">
        <v>83</v>
      </c>
      <c r="AA21" t="s">
        <v>114</v>
      </c>
      <c r="AB21" s="14">
        <v>2</v>
      </c>
      <c r="AC21" t="s">
        <v>85</v>
      </c>
      <c r="AD21" s="14">
        <v>2</v>
      </c>
      <c r="AE21" t="s">
        <v>86</v>
      </c>
      <c r="AF21" s="14">
        <v>3</v>
      </c>
      <c r="AG21" t="s">
        <v>246</v>
      </c>
      <c r="AH21" t="s">
        <v>72</v>
      </c>
      <c r="AI21" t="s">
        <v>88</v>
      </c>
      <c r="AJ21" t="s">
        <v>89</v>
      </c>
      <c r="AK21" t="s">
        <v>90</v>
      </c>
      <c r="AL21" s="1" t="s">
        <v>256</v>
      </c>
      <c r="AM21" t="s">
        <v>169</v>
      </c>
      <c r="AN21" t="s">
        <v>92</v>
      </c>
      <c r="AO21" t="s">
        <v>120</v>
      </c>
      <c r="AP21" t="s">
        <v>94</v>
      </c>
      <c r="AQ21" t="s">
        <v>95</v>
      </c>
      <c r="AR21">
        <v>9</v>
      </c>
      <c r="AS21">
        <v>6</v>
      </c>
      <c r="AT21">
        <v>8</v>
      </c>
      <c r="AU21">
        <v>8</v>
      </c>
      <c r="AV21">
        <v>7</v>
      </c>
      <c r="AW21">
        <v>7</v>
      </c>
      <c r="AX21">
        <v>6</v>
      </c>
      <c r="AY21">
        <v>7</v>
      </c>
      <c r="AZ21">
        <v>7</v>
      </c>
      <c r="BA21">
        <v>5</v>
      </c>
      <c r="BB21">
        <v>6</v>
      </c>
      <c r="BC21">
        <v>8</v>
      </c>
      <c r="BD21">
        <v>7</v>
      </c>
      <c r="BE21">
        <v>8</v>
      </c>
      <c r="BF21">
        <v>8</v>
      </c>
      <c r="BG21">
        <v>7</v>
      </c>
      <c r="BH21" t="s">
        <v>247</v>
      </c>
      <c r="BJ21" t="s">
        <v>174</v>
      </c>
      <c r="BK21" s="15">
        <v>1</v>
      </c>
      <c r="BL21">
        <v>28</v>
      </c>
      <c r="BM21">
        <v>26</v>
      </c>
      <c r="BN21">
        <v>9</v>
      </c>
      <c r="BO21">
        <v>28</v>
      </c>
      <c r="BP21">
        <v>29</v>
      </c>
      <c r="BQ21">
        <v>1</v>
      </c>
      <c r="BR21">
        <v>20</v>
      </c>
      <c r="BS21">
        <v>13</v>
      </c>
      <c r="BT21">
        <v>7</v>
      </c>
      <c r="BU21">
        <v>65</v>
      </c>
      <c r="BV21">
        <v>158261</v>
      </c>
      <c r="BW21" s="15">
        <f t="shared" si="0"/>
        <v>2</v>
      </c>
      <c r="BX21" s="15">
        <f t="shared" si="1"/>
        <v>1</v>
      </c>
      <c r="BY21">
        <f t="shared" si="2"/>
        <v>0</v>
      </c>
    </row>
    <row r="22" spans="1:77" x14ac:dyDescent="0.25">
      <c r="A22" t="s">
        <v>248</v>
      </c>
      <c r="B22" t="s">
        <v>100</v>
      </c>
      <c r="C22" s="14">
        <v>1</v>
      </c>
      <c r="D22" t="s">
        <v>101</v>
      </c>
      <c r="E22" s="14">
        <v>1</v>
      </c>
      <c r="F22" t="s">
        <v>125</v>
      </c>
      <c r="G22" t="s">
        <v>103</v>
      </c>
      <c r="H22" s="14">
        <v>1</v>
      </c>
      <c r="I22" t="s">
        <v>126</v>
      </c>
      <c r="J22" s="14">
        <v>1</v>
      </c>
      <c r="L22" t="s">
        <v>71</v>
      </c>
      <c r="M22" t="s">
        <v>155</v>
      </c>
      <c r="N22" t="s">
        <v>73</v>
      </c>
      <c r="O22" t="s">
        <v>74</v>
      </c>
      <c r="P22" t="s">
        <v>75</v>
      </c>
      <c r="Q22" t="s">
        <v>130</v>
      </c>
      <c r="R22" t="s">
        <v>77</v>
      </c>
      <c r="S22" t="s">
        <v>78</v>
      </c>
      <c r="T22" t="s">
        <v>156</v>
      </c>
      <c r="U22" t="s">
        <v>80</v>
      </c>
      <c r="V22" t="s">
        <v>133</v>
      </c>
      <c r="W22" s="15">
        <v>4</v>
      </c>
      <c r="X22" t="s">
        <v>187</v>
      </c>
      <c r="Y22" s="14">
        <v>1</v>
      </c>
      <c r="Z22" t="s">
        <v>113</v>
      </c>
      <c r="AA22" t="s">
        <v>231</v>
      </c>
      <c r="AB22" s="14">
        <v>1</v>
      </c>
      <c r="AC22" t="s">
        <v>85</v>
      </c>
      <c r="AD22" s="14">
        <v>2</v>
      </c>
      <c r="AE22" t="s">
        <v>86</v>
      </c>
      <c r="AF22" s="14">
        <v>3</v>
      </c>
      <c r="AH22" t="s">
        <v>72</v>
      </c>
      <c r="AI22" t="s">
        <v>88</v>
      </c>
      <c r="AJ22" t="s">
        <v>89</v>
      </c>
      <c r="AK22" t="s">
        <v>90</v>
      </c>
      <c r="AL22" s="2" t="s">
        <v>137</v>
      </c>
      <c r="AM22" t="s">
        <v>138</v>
      </c>
      <c r="AN22" t="s">
        <v>170</v>
      </c>
      <c r="AO22" t="s">
        <v>120</v>
      </c>
      <c r="AP22" t="s">
        <v>121</v>
      </c>
      <c r="AQ22" t="s">
        <v>95</v>
      </c>
      <c r="AR22">
        <v>5</v>
      </c>
      <c r="AS22">
        <v>6</v>
      </c>
      <c r="AT22">
        <v>5</v>
      </c>
      <c r="AU22">
        <v>2</v>
      </c>
      <c r="AV22">
        <v>4</v>
      </c>
      <c r="AW22">
        <v>3</v>
      </c>
      <c r="AX22">
        <v>5</v>
      </c>
      <c r="AY22">
        <v>6</v>
      </c>
      <c r="AZ22">
        <v>6</v>
      </c>
      <c r="BA22">
        <v>5</v>
      </c>
      <c r="BB22">
        <v>5</v>
      </c>
      <c r="BC22">
        <v>5</v>
      </c>
      <c r="BD22">
        <v>5</v>
      </c>
      <c r="BE22">
        <v>6</v>
      </c>
      <c r="BF22">
        <v>6</v>
      </c>
      <c r="BG22">
        <v>3</v>
      </c>
      <c r="BH22" t="s">
        <v>249</v>
      </c>
      <c r="BI22" t="s">
        <v>249</v>
      </c>
      <c r="BJ22" t="s">
        <v>174</v>
      </c>
      <c r="BK22" s="15">
        <v>1</v>
      </c>
      <c r="BL22">
        <v>13</v>
      </c>
      <c r="BM22">
        <v>13</v>
      </c>
      <c r="BN22">
        <v>2</v>
      </c>
      <c r="BO22">
        <v>20</v>
      </c>
      <c r="BP22">
        <v>21</v>
      </c>
      <c r="BQ22">
        <v>8</v>
      </c>
      <c r="BR22">
        <v>24</v>
      </c>
      <c r="BS22">
        <v>10</v>
      </c>
      <c r="BT22">
        <v>14</v>
      </c>
      <c r="BU22">
        <v>41.67</v>
      </c>
      <c r="BV22" s="4">
        <v>13137.5</v>
      </c>
      <c r="BW22" s="15">
        <f t="shared" si="0"/>
        <v>1</v>
      </c>
      <c r="BX22" s="15">
        <f t="shared" si="1"/>
        <v>0</v>
      </c>
      <c r="BY22">
        <f t="shared" si="2"/>
        <v>0</v>
      </c>
    </row>
    <row r="23" spans="1:77" x14ac:dyDescent="0.25">
      <c r="A23" t="s">
        <v>250</v>
      </c>
      <c r="B23" s="2" t="s">
        <v>65</v>
      </c>
      <c r="C23" s="19">
        <v>2</v>
      </c>
      <c r="D23" s="2" t="s">
        <v>192</v>
      </c>
      <c r="E23" s="19">
        <v>3</v>
      </c>
      <c r="F23" s="2" t="s">
        <v>253</v>
      </c>
      <c r="G23" s="2" t="s">
        <v>165</v>
      </c>
      <c r="H23" s="19">
        <v>2</v>
      </c>
      <c r="I23" s="2" t="s">
        <v>69</v>
      </c>
      <c r="J23" s="19">
        <v>4</v>
      </c>
      <c r="K23" s="2" t="s">
        <v>71</v>
      </c>
      <c r="L23" s="2" t="s">
        <v>254</v>
      </c>
      <c r="M23" s="2" t="s">
        <v>72</v>
      </c>
      <c r="N23" s="2" t="s">
        <v>73</v>
      </c>
      <c r="O23" s="2" t="s">
        <v>74</v>
      </c>
      <c r="P23" s="2" t="s">
        <v>75</v>
      </c>
      <c r="Q23" s="2" t="s">
        <v>76</v>
      </c>
      <c r="R23" s="2" t="s">
        <v>196</v>
      </c>
      <c r="S23" s="2" t="s">
        <v>92</v>
      </c>
      <c r="T23" s="2" t="s">
        <v>110</v>
      </c>
      <c r="U23" s="2" t="s">
        <v>80</v>
      </c>
      <c r="V23" s="2" t="s">
        <v>81</v>
      </c>
      <c r="W23" s="15">
        <v>8</v>
      </c>
      <c r="X23" s="1" t="s">
        <v>187</v>
      </c>
      <c r="Y23" s="20">
        <v>1</v>
      </c>
      <c r="Z23" s="1" t="s">
        <v>255</v>
      </c>
      <c r="AA23" s="1" t="s">
        <v>84</v>
      </c>
      <c r="AB23" s="20">
        <v>3</v>
      </c>
      <c r="AC23" s="1" t="s">
        <v>135</v>
      </c>
      <c r="AD23" s="20">
        <v>3</v>
      </c>
      <c r="AE23" s="1" t="s">
        <v>86</v>
      </c>
      <c r="AF23" s="20">
        <v>3</v>
      </c>
      <c r="AG23" s="1"/>
      <c r="AH23" s="1" t="s">
        <v>72</v>
      </c>
      <c r="AI23" s="1" t="s">
        <v>88</v>
      </c>
      <c r="AJ23" s="1" t="s">
        <v>89</v>
      </c>
      <c r="AK23" s="1" t="s">
        <v>90</v>
      </c>
      <c r="AL23" s="1" t="s">
        <v>256</v>
      </c>
      <c r="AM23" s="1" t="s">
        <v>169</v>
      </c>
      <c r="AN23" s="1" t="s">
        <v>78</v>
      </c>
      <c r="AO23" s="1" t="s">
        <v>171</v>
      </c>
      <c r="AP23" s="1" t="s">
        <v>94</v>
      </c>
      <c r="AQ23" s="1" t="s">
        <v>95</v>
      </c>
      <c r="AR23">
        <v>9</v>
      </c>
      <c r="AS23" s="1">
        <v>7</v>
      </c>
      <c r="AT23" s="1">
        <v>6</v>
      </c>
      <c r="AU23" s="1">
        <v>7</v>
      </c>
      <c r="AV23" s="1">
        <v>6</v>
      </c>
      <c r="AW23" s="1">
        <v>7</v>
      </c>
      <c r="AX23" s="1">
        <v>6</v>
      </c>
      <c r="AY23" s="1">
        <v>7</v>
      </c>
      <c r="AZ23" s="1">
        <v>7</v>
      </c>
      <c r="BA23" s="1">
        <v>7</v>
      </c>
      <c r="BB23" s="1">
        <v>6</v>
      </c>
      <c r="BC23" s="1">
        <v>8</v>
      </c>
      <c r="BD23" s="1">
        <v>6</v>
      </c>
      <c r="BE23" s="1">
        <v>7</v>
      </c>
      <c r="BF23" s="1">
        <v>8</v>
      </c>
      <c r="BG23" s="1">
        <v>8</v>
      </c>
      <c r="BH23" s="1" t="s">
        <v>257</v>
      </c>
      <c r="BI23" s="1" t="s">
        <v>257</v>
      </c>
      <c r="BJ23" s="1" t="s">
        <v>71</v>
      </c>
      <c r="BK23" s="22">
        <v>2</v>
      </c>
      <c r="BL23">
        <v>42</v>
      </c>
      <c r="BM23">
        <v>38</v>
      </c>
      <c r="BN23">
        <v>2</v>
      </c>
      <c r="BO23">
        <v>39</v>
      </c>
      <c r="BP23">
        <v>23</v>
      </c>
      <c r="BQ23">
        <v>0</v>
      </c>
      <c r="BR23">
        <v>21</v>
      </c>
      <c r="BS23">
        <v>15</v>
      </c>
      <c r="BT23">
        <v>6</v>
      </c>
      <c r="BU23">
        <v>71.430000000000007</v>
      </c>
      <c r="BV23" s="3">
        <v>6806</v>
      </c>
      <c r="BW23" s="15">
        <f t="shared" si="0"/>
        <v>1</v>
      </c>
      <c r="BX23" s="15">
        <f t="shared" si="1"/>
        <v>-1</v>
      </c>
      <c r="BY23">
        <f t="shared" si="2"/>
        <v>0</v>
      </c>
    </row>
    <row r="24" spans="1:77" x14ac:dyDescent="0.25">
      <c r="A24" t="s">
        <v>251</v>
      </c>
      <c r="B24" s="2" t="s">
        <v>65</v>
      </c>
      <c r="C24" s="19">
        <v>2</v>
      </c>
      <c r="D24" s="2" t="s">
        <v>101</v>
      </c>
      <c r="E24" s="19">
        <v>1</v>
      </c>
      <c r="F24" s="2" t="s">
        <v>253</v>
      </c>
      <c r="G24" s="2" t="s">
        <v>103</v>
      </c>
      <c r="H24" s="19">
        <v>1</v>
      </c>
      <c r="I24" s="2" t="s">
        <v>104</v>
      </c>
      <c r="J24" s="19">
        <v>3</v>
      </c>
      <c r="K24" s="2" t="s">
        <v>262</v>
      </c>
      <c r="L24" s="2" t="s">
        <v>71</v>
      </c>
      <c r="M24" s="2" t="s">
        <v>72</v>
      </c>
      <c r="N24" s="2" t="s">
        <v>73</v>
      </c>
      <c r="O24" s="2" t="s">
        <v>74</v>
      </c>
      <c r="P24" s="2" t="s">
        <v>75</v>
      </c>
      <c r="Q24" s="2" t="s">
        <v>130</v>
      </c>
      <c r="R24" s="2" t="s">
        <v>77</v>
      </c>
      <c r="S24" s="2" t="s">
        <v>263</v>
      </c>
      <c r="T24" s="2" t="s">
        <v>156</v>
      </c>
      <c r="U24" s="2" t="s">
        <v>132</v>
      </c>
      <c r="V24" s="2" t="s">
        <v>144</v>
      </c>
      <c r="W24" s="15">
        <v>5</v>
      </c>
      <c r="X24" s="2" t="s">
        <v>134</v>
      </c>
      <c r="Y24" s="19">
        <v>2</v>
      </c>
      <c r="Z24" s="2" t="s">
        <v>264</v>
      </c>
      <c r="AA24" s="2" t="s">
        <v>114</v>
      </c>
      <c r="AB24" s="19">
        <v>2</v>
      </c>
      <c r="AC24" s="2" t="s">
        <v>178</v>
      </c>
      <c r="AD24" s="19">
        <v>1</v>
      </c>
      <c r="AE24" s="2" t="s">
        <v>86</v>
      </c>
      <c r="AF24" s="19">
        <v>3</v>
      </c>
      <c r="AG24" s="2" t="s">
        <v>265</v>
      </c>
      <c r="AH24" s="2" t="s">
        <v>72</v>
      </c>
      <c r="AI24" s="2" t="s">
        <v>88</v>
      </c>
      <c r="AJ24" s="2" t="s">
        <v>146</v>
      </c>
      <c r="AK24" s="2" t="s">
        <v>90</v>
      </c>
      <c r="AL24" s="2" t="s">
        <v>256</v>
      </c>
      <c r="AM24" s="2" t="s">
        <v>169</v>
      </c>
      <c r="AN24" s="2" t="s">
        <v>148</v>
      </c>
      <c r="AO24" s="2" t="s">
        <v>120</v>
      </c>
      <c r="AP24" s="2" t="s">
        <v>149</v>
      </c>
      <c r="AQ24" s="2" t="s">
        <v>95</v>
      </c>
      <c r="AR24">
        <v>7</v>
      </c>
      <c r="AS24" s="2">
        <v>4</v>
      </c>
      <c r="AT24" s="2">
        <v>5</v>
      </c>
      <c r="AU24" s="2">
        <v>5</v>
      </c>
      <c r="AV24" s="2">
        <v>6</v>
      </c>
      <c r="AW24" s="2">
        <v>6</v>
      </c>
      <c r="AX24" s="2">
        <v>7</v>
      </c>
      <c r="AY24" s="2">
        <v>5</v>
      </c>
      <c r="AZ24" s="2">
        <v>6</v>
      </c>
      <c r="BA24" s="2">
        <v>6</v>
      </c>
      <c r="BB24" s="2">
        <v>5</v>
      </c>
      <c r="BC24" s="2">
        <v>5</v>
      </c>
      <c r="BD24" s="2">
        <v>5</v>
      </c>
      <c r="BE24" s="2">
        <v>6</v>
      </c>
      <c r="BF24" s="2">
        <v>6</v>
      </c>
      <c r="BG24" s="2">
        <v>7</v>
      </c>
      <c r="BH24" s="2" t="s">
        <v>258</v>
      </c>
      <c r="BI24" s="2" t="s">
        <v>259</v>
      </c>
      <c r="BJ24" s="2" t="s">
        <v>71</v>
      </c>
      <c r="BK24" s="23">
        <v>1</v>
      </c>
      <c r="BL24">
        <v>17</v>
      </c>
      <c r="BM24">
        <v>17</v>
      </c>
      <c r="BN24">
        <v>1</v>
      </c>
      <c r="BO24">
        <v>21</v>
      </c>
      <c r="BP24">
        <v>21</v>
      </c>
      <c r="BQ24">
        <v>7</v>
      </c>
      <c r="BR24">
        <v>14</v>
      </c>
      <c r="BS24">
        <v>7</v>
      </c>
      <c r="BT24">
        <v>7</v>
      </c>
      <c r="BU24">
        <v>50</v>
      </c>
      <c r="BV24">
        <v>20213</v>
      </c>
      <c r="BW24" s="15">
        <f t="shared" si="0"/>
        <v>2</v>
      </c>
      <c r="BX24" s="15">
        <f t="shared" si="1"/>
        <v>0</v>
      </c>
      <c r="BY24">
        <f t="shared" si="2"/>
        <v>1</v>
      </c>
    </row>
    <row r="25" spans="1:77" x14ac:dyDescent="0.25">
      <c r="A25" t="s">
        <v>252</v>
      </c>
      <c r="B25" s="1" t="s">
        <v>65</v>
      </c>
      <c r="C25" s="20">
        <v>2</v>
      </c>
      <c r="D25" s="1" t="s">
        <v>66</v>
      </c>
      <c r="E25" s="20">
        <v>2</v>
      </c>
      <c r="F25" s="1" t="s">
        <v>253</v>
      </c>
      <c r="G25" s="1" t="s">
        <v>165</v>
      </c>
      <c r="H25" s="20">
        <v>2</v>
      </c>
      <c r="I25" s="1" t="s">
        <v>236</v>
      </c>
      <c r="J25" s="20">
        <v>2</v>
      </c>
      <c r="K25" s="1" t="s">
        <v>174</v>
      </c>
      <c r="L25" s="1" t="s">
        <v>174</v>
      </c>
      <c r="M25" s="1" t="s">
        <v>72</v>
      </c>
      <c r="N25" s="1" t="s">
        <v>73</v>
      </c>
      <c r="O25" s="1" t="s">
        <v>177</v>
      </c>
      <c r="P25" s="1" t="s">
        <v>75</v>
      </c>
      <c r="Q25" s="1" t="s">
        <v>130</v>
      </c>
      <c r="R25" s="1" t="s">
        <v>77</v>
      </c>
      <c r="S25" s="1" t="s">
        <v>78</v>
      </c>
      <c r="T25" s="1" t="s">
        <v>110</v>
      </c>
      <c r="U25" s="1" t="s">
        <v>143</v>
      </c>
      <c r="V25" s="1" t="s">
        <v>133</v>
      </c>
      <c r="W25" s="15">
        <v>4</v>
      </c>
      <c r="X25" s="1" t="s">
        <v>134</v>
      </c>
      <c r="Y25" s="20">
        <v>2</v>
      </c>
      <c r="Z25" s="1" t="s">
        <v>264</v>
      </c>
      <c r="AA25" s="1" t="s">
        <v>114</v>
      </c>
      <c r="AB25" s="20">
        <v>2</v>
      </c>
      <c r="AC25" s="1" t="s">
        <v>85</v>
      </c>
      <c r="AD25" s="20">
        <v>2</v>
      </c>
      <c r="AE25" s="1" t="s">
        <v>179</v>
      </c>
      <c r="AF25" s="20">
        <v>3</v>
      </c>
      <c r="AG25" s="1" t="s">
        <v>266</v>
      </c>
      <c r="AH25" s="1" t="s">
        <v>72</v>
      </c>
      <c r="AI25" s="1" t="s">
        <v>88</v>
      </c>
      <c r="AJ25" s="1" t="s">
        <v>89</v>
      </c>
      <c r="AK25" s="1" t="s">
        <v>119</v>
      </c>
      <c r="AL25" s="1" t="s">
        <v>256</v>
      </c>
      <c r="AM25" s="1" t="s">
        <v>169</v>
      </c>
      <c r="AN25" s="1" t="s">
        <v>170</v>
      </c>
      <c r="AO25" s="1" t="s">
        <v>156</v>
      </c>
      <c r="AP25" s="1" t="s">
        <v>121</v>
      </c>
      <c r="AQ25" s="1" t="s">
        <v>95</v>
      </c>
      <c r="AR25">
        <v>6</v>
      </c>
      <c r="AS25" s="1">
        <v>4</v>
      </c>
      <c r="AT25" s="1">
        <v>6</v>
      </c>
      <c r="AU25" s="1">
        <v>5</v>
      </c>
      <c r="AV25" s="1">
        <v>5</v>
      </c>
      <c r="AW25" s="1">
        <v>3</v>
      </c>
      <c r="AX25" s="1">
        <v>2</v>
      </c>
      <c r="AY25" s="1">
        <v>5</v>
      </c>
      <c r="AZ25" s="1">
        <v>2</v>
      </c>
      <c r="BA25" s="1">
        <v>5</v>
      </c>
      <c r="BB25" s="1">
        <v>5</v>
      </c>
      <c r="BC25" s="1">
        <v>5</v>
      </c>
      <c r="BD25" s="1">
        <v>7</v>
      </c>
      <c r="BE25" s="1">
        <v>3</v>
      </c>
      <c r="BF25" s="1">
        <v>3</v>
      </c>
      <c r="BG25" s="1">
        <v>6</v>
      </c>
      <c r="BH25" s="1" t="s">
        <v>260</v>
      </c>
      <c r="BI25" s="1" t="s">
        <v>261</v>
      </c>
      <c r="BJ25" s="1" t="s">
        <v>174</v>
      </c>
      <c r="BK25" s="22">
        <v>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30</v>
      </c>
      <c r="BS25">
        <v>18</v>
      </c>
      <c r="BT25">
        <v>12</v>
      </c>
      <c r="BV25">
        <v>466889</v>
      </c>
      <c r="BW25" s="15">
        <f t="shared" si="0"/>
        <v>2</v>
      </c>
      <c r="BX25" s="15">
        <f t="shared" si="1"/>
        <v>0</v>
      </c>
      <c r="BY25">
        <f t="shared" si="2"/>
        <v>0</v>
      </c>
    </row>
    <row r="26" spans="1:77" x14ac:dyDescent="0.25">
      <c r="A26" t="s">
        <v>293</v>
      </c>
      <c r="B26" s="1" t="s">
        <v>65</v>
      </c>
      <c r="C26" s="14">
        <v>2</v>
      </c>
      <c r="D26" s="1" t="s">
        <v>66</v>
      </c>
      <c r="E26" s="14">
        <v>2</v>
      </c>
      <c r="F26" s="1" t="s">
        <v>253</v>
      </c>
      <c r="G26" s="1" t="s">
        <v>165</v>
      </c>
      <c r="H26" s="14">
        <v>2</v>
      </c>
      <c r="I26" s="1" t="s">
        <v>104</v>
      </c>
      <c r="J26" s="14">
        <v>3</v>
      </c>
      <c r="L26" s="1" t="s">
        <v>296</v>
      </c>
      <c r="M26" s="1" t="s">
        <v>72</v>
      </c>
      <c r="N26" s="1" t="s">
        <v>73</v>
      </c>
      <c r="O26" s="1" t="s">
        <v>74</v>
      </c>
      <c r="P26" s="1" t="s">
        <v>186</v>
      </c>
      <c r="Q26" s="1" t="s">
        <v>130</v>
      </c>
      <c r="R26" s="1" t="s">
        <v>77</v>
      </c>
      <c r="S26" s="1" t="s">
        <v>78</v>
      </c>
      <c r="T26" s="1" t="s">
        <v>79</v>
      </c>
      <c r="U26" s="1" t="s">
        <v>132</v>
      </c>
      <c r="V26" s="1" t="s">
        <v>81</v>
      </c>
      <c r="W26" s="15">
        <v>2</v>
      </c>
      <c r="X26" s="2" t="s">
        <v>82</v>
      </c>
      <c r="Y26" s="14">
        <v>4</v>
      </c>
      <c r="Z26" s="1" t="s">
        <v>255</v>
      </c>
      <c r="AA26" s="1" t="s">
        <v>84</v>
      </c>
      <c r="AB26" s="14">
        <v>2</v>
      </c>
      <c r="AC26" s="14" t="s">
        <v>115</v>
      </c>
      <c r="AD26" s="14">
        <v>4</v>
      </c>
      <c r="AE26" t="s">
        <v>116</v>
      </c>
      <c r="AF26" s="14">
        <v>4</v>
      </c>
      <c r="AH26" s="2" t="s">
        <v>72</v>
      </c>
      <c r="AI26" s="2" t="s">
        <v>88</v>
      </c>
      <c r="AJ26" s="2" t="s">
        <v>89</v>
      </c>
      <c r="AK26" s="2" t="s">
        <v>90</v>
      </c>
      <c r="AL26" s="2" t="s">
        <v>256</v>
      </c>
      <c r="AM26" s="2" t="s">
        <v>169</v>
      </c>
      <c r="AN26" s="2" t="s">
        <v>92</v>
      </c>
      <c r="AO26" s="2" t="s">
        <v>156</v>
      </c>
      <c r="AP26" s="2" t="s">
        <v>94</v>
      </c>
      <c r="AQ26" s="2" t="s">
        <v>95</v>
      </c>
      <c r="AR26">
        <v>10</v>
      </c>
      <c r="AS26" s="2">
        <v>8</v>
      </c>
      <c r="AT26" s="2">
        <v>8</v>
      </c>
      <c r="AU26" s="2">
        <v>7</v>
      </c>
      <c r="AV26" s="2">
        <v>9</v>
      </c>
      <c r="AW26" s="2">
        <v>9</v>
      </c>
      <c r="AX26" s="2">
        <v>8</v>
      </c>
      <c r="AY26" s="2">
        <v>8</v>
      </c>
      <c r="AZ26" s="2">
        <v>9</v>
      </c>
      <c r="BA26" s="2">
        <v>9</v>
      </c>
      <c r="BB26" s="2">
        <v>7</v>
      </c>
      <c r="BC26" s="2">
        <v>8</v>
      </c>
      <c r="BD26" s="2">
        <v>6</v>
      </c>
      <c r="BE26" s="2">
        <v>9</v>
      </c>
      <c r="BF26" s="2">
        <v>9</v>
      </c>
      <c r="BG26" s="2">
        <v>9</v>
      </c>
      <c r="BH26" s="2" t="s">
        <v>297</v>
      </c>
      <c r="BI26" s="2" t="s">
        <v>298</v>
      </c>
      <c r="BJ26" s="2" t="s">
        <v>174</v>
      </c>
      <c r="BK26" s="15">
        <v>2</v>
      </c>
      <c r="BL26">
        <v>37</v>
      </c>
      <c r="BM26">
        <v>37</v>
      </c>
      <c r="BN26">
        <v>3</v>
      </c>
      <c r="BO26">
        <v>34</v>
      </c>
      <c r="BP26">
        <v>40</v>
      </c>
      <c r="BQ26">
        <v>0</v>
      </c>
      <c r="BR26">
        <v>24</v>
      </c>
      <c r="BS26">
        <v>18</v>
      </c>
      <c r="BT26">
        <v>6</v>
      </c>
      <c r="BU26">
        <v>75</v>
      </c>
      <c r="BV26">
        <v>262741</v>
      </c>
      <c r="BW26" s="15">
        <f t="shared" si="0"/>
        <v>8</v>
      </c>
      <c r="BX26" s="15">
        <f t="shared" si="1"/>
        <v>2</v>
      </c>
      <c r="BY26">
        <f t="shared" si="2"/>
        <v>0</v>
      </c>
    </row>
    <row r="27" spans="1:77" x14ac:dyDescent="0.25">
      <c r="A27" t="s">
        <v>294</v>
      </c>
      <c r="B27" s="1" t="s">
        <v>65</v>
      </c>
      <c r="C27" s="14">
        <v>2</v>
      </c>
      <c r="D27" s="1" t="s">
        <v>66</v>
      </c>
      <c r="E27" s="14">
        <v>2</v>
      </c>
      <c r="F27" s="1" t="s">
        <v>253</v>
      </c>
      <c r="G27" s="1" t="s">
        <v>165</v>
      </c>
      <c r="H27" s="14">
        <v>2</v>
      </c>
      <c r="I27" s="1" t="s">
        <v>236</v>
      </c>
      <c r="J27" s="14">
        <v>2</v>
      </c>
      <c r="K27" s="1" t="s">
        <v>71</v>
      </c>
      <c r="L27" s="14" t="s">
        <v>71</v>
      </c>
      <c r="M27" s="2" t="s">
        <v>72</v>
      </c>
      <c r="N27" s="2" t="s">
        <v>73</v>
      </c>
      <c r="O27" s="2" t="s">
        <v>202</v>
      </c>
      <c r="P27" s="2" t="s">
        <v>186</v>
      </c>
      <c r="Q27" s="2" t="s">
        <v>108</v>
      </c>
      <c r="R27" s="2" t="s">
        <v>77</v>
      </c>
      <c r="S27" s="2" t="s">
        <v>78</v>
      </c>
      <c r="T27" s="2" t="s">
        <v>156</v>
      </c>
      <c r="U27" s="2" t="s">
        <v>132</v>
      </c>
      <c r="V27" s="2" t="s">
        <v>81</v>
      </c>
      <c r="W27" s="15">
        <v>3</v>
      </c>
      <c r="X27" s="1" t="s">
        <v>187</v>
      </c>
      <c r="Y27" s="14">
        <v>1</v>
      </c>
      <c r="Z27" s="1" t="s">
        <v>264</v>
      </c>
      <c r="AA27" t="s">
        <v>231</v>
      </c>
      <c r="AB27" s="14">
        <v>1</v>
      </c>
      <c r="AC27" s="1" t="s">
        <v>85</v>
      </c>
      <c r="AD27" s="14">
        <v>2</v>
      </c>
      <c r="AE27" s="1" t="s">
        <v>179</v>
      </c>
      <c r="AF27" s="14">
        <v>3</v>
      </c>
      <c r="AH27" s="1" t="s">
        <v>72</v>
      </c>
      <c r="AI27" s="1" t="s">
        <v>88</v>
      </c>
      <c r="AJ27" s="1" t="s">
        <v>158</v>
      </c>
      <c r="AK27" s="1" t="s">
        <v>90</v>
      </c>
      <c r="AL27" s="1" t="s">
        <v>137</v>
      </c>
      <c r="AM27" s="1" t="s">
        <v>91</v>
      </c>
      <c r="AN27" s="1" t="s">
        <v>78</v>
      </c>
      <c r="AO27" s="1" t="s">
        <v>120</v>
      </c>
      <c r="AP27" s="1" t="s">
        <v>121</v>
      </c>
      <c r="AQ27" s="1" t="s">
        <v>159</v>
      </c>
      <c r="AR27">
        <v>3</v>
      </c>
      <c r="AS27" s="1">
        <v>3</v>
      </c>
      <c r="AT27" s="1">
        <v>6</v>
      </c>
      <c r="AU27" s="1">
        <v>4</v>
      </c>
      <c r="AV27" s="1">
        <v>4</v>
      </c>
      <c r="AW27" s="1">
        <v>4</v>
      </c>
      <c r="AX27" s="1">
        <v>1</v>
      </c>
      <c r="AY27" s="1">
        <v>3</v>
      </c>
      <c r="AZ27" s="1">
        <v>2</v>
      </c>
      <c r="BA27" s="1">
        <v>5</v>
      </c>
      <c r="BB27" s="1">
        <v>4</v>
      </c>
      <c r="BC27" s="1">
        <v>3</v>
      </c>
      <c r="BD27" s="1">
        <v>7</v>
      </c>
      <c r="BE27" s="1">
        <v>2</v>
      </c>
      <c r="BF27" s="1">
        <v>2</v>
      </c>
      <c r="BG27" s="1">
        <v>4</v>
      </c>
      <c r="BH27" s="1" t="s">
        <v>299</v>
      </c>
      <c r="BI27" s="1" t="s">
        <v>300</v>
      </c>
      <c r="BJ27" s="1" t="s">
        <v>71</v>
      </c>
      <c r="BK27" s="15">
        <v>3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23</v>
      </c>
      <c r="BS27">
        <v>12</v>
      </c>
      <c r="BT27">
        <v>11</v>
      </c>
      <c r="BU27">
        <v>52.17</v>
      </c>
      <c r="BV27">
        <v>394400</v>
      </c>
      <c r="BW27" s="15">
        <f t="shared" si="0"/>
        <v>0</v>
      </c>
      <c r="BX27" s="15">
        <f t="shared" ref="BX27:BX32" si="3">Y27-C27</f>
        <v>-1</v>
      </c>
      <c r="BY27">
        <f t="shared" si="2"/>
        <v>-1</v>
      </c>
    </row>
    <row r="28" spans="1:77" x14ac:dyDescent="0.25">
      <c r="A28" t="s">
        <v>295</v>
      </c>
      <c r="B28" s="1" t="s">
        <v>100</v>
      </c>
      <c r="C28" s="14">
        <v>1</v>
      </c>
      <c r="D28" t="s">
        <v>101</v>
      </c>
      <c r="E28" s="14">
        <v>1</v>
      </c>
      <c r="F28" s="1" t="s">
        <v>253</v>
      </c>
      <c r="G28" s="1" t="s">
        <v>103</v>
      </c>
      <c r="H28" s="14">
        <v>1</v>
      </c>
      <c r="I28" t="s">
        <v>126</v>
      </c>
      <c r="J28" s="14">
        <v>1</v>
      </c>
      <c r="K28" s="1" t="s">
        <v>301</v>
      </c>
      <c r="L28" s="1" t="s">
        <v>71</v>
      </c>
      <c r="M28" s="1" t="s">
        <v>128</v>
      </c>
      <c r="N28" s="1" t="s">
        <v>106</v>
      </c>
      <c r="O28" s="1" t="s">
        <v>74</v>
      </c>
      <c r="P28" s="1" t="s">
        <v>186</v>
      </c>
      <c r="Q28" s="1" t="s">
        <v>76</v>
      </c>
      <c r="R28" s="1" t="s">
        <v>109</v>
      </c>
      <c r="S28" s="1" t="s">
        <v>302</v>
      </c>
      <c r="T28" s="1" t="s">
        <v>156</v>
      </c>
      <c r="U28" s="1" t="s">
        <v>132</v>
      </c>
      <c r="V28" s="1" t="s">
        <v>133</v>
      </c>
      <c r="W28" s="15">
        <v>3</v>
      </c>
      <c r="X28" s="1" t="s">
        <v>187</v>
      </c>
      <c r="Y28" s="14">
        <v>1</v>
      </c>
      <c r="Z28" s="1" t="s">
        <v>264</v>
      </c>
      <c r="AA28" t="s">
        <v>231</v>
      </c>
      <c r="AB28" s="14">
        <v>1</v>
      </c>
      <c r="AC28" t="s">
        <v>178</v>
      </c>
      <c r="AD28" s="14">
        <v>1</v>
      </c>
      <c r="AE28" t="s">
        <v>215</v>
      </c>
      <c r="AF28" s="14">
        <v>1</v>
      </c>
      <c r="AG28" s="2" t="s">
        <v>306</v>
      </c>
      <c r="AH28" s="2" t="s">
        <v>303</v>
      </c>
      <c r="AI28" s="2" t="s">
        <v>118</v>
      </c>
      <c r="AJ28" s="2" t="s">
        <v>158</v>
      </c>
      <c r="AK28" s="2" t="s">
        <v>304</v>
      </c>
      <c r="AL28" s="2" t="s">
        <v>305</v>
      </c>
      <c r="AM28" s="2" t="s">
        <v>138</v>
      </c>
      <c r="AN28" s="2" t="s">
        <v>148</v>
      </c>
      <c r="AO28" s="2" t="s">
        <v>156</v>
      </c>
      <c r="AP28" s="2" t="s">
        <v>149</v>
      </c>
      <c r="AQ28" s="2" t="s">
        <v>204</v>
      </c>
      <c r="AR28">
        <v>1</v>
      </c>
      <c r="AS28" s="2">
        <v>1</v>
      </c>
      <c r="AT28" s="2">
        <v>2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2</v>
      </c>
      <c r="BA28" s="2">
        <v>1</v>
      </c>
      <c r="BB28" s="2">
        <v>2</v>
      </c>
      <c r="BC28" s="2">
        <v>2</v>
      </c>
      <c r="BD28" s="2">
        <v>5</v>
      </c>
      <c r="BE28" s="2">
        <v>2</v>
      </c>
      <c r="BF28" s="2">
        <v>3</v>
      </c>
      <c r="BG28" s="2">
        <v>1</v>
      </c>
      <c r="BH28" s="2" t="s">
        <v>307</v>
      </c>
      <c r="BI28" s="2" t="s">
        <v>182</v>
      </c>
      <c r="BJ28" s="2" t="s">
        <v>174</v>
      </c>
      <c r="BK28" s="15">
        <v>3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20</v>
      </c>
      <c r="BS28">
        <v>9</v>
      </c>
      <c r="BT28">
        <v>11</v>
      </c>
      <c r="BU28">
        <v>45</v>
      </c>
      <c r="BV28">
        <v>577073</v>
      </c>
      <c r="BW28" s="15">
        <f t="shared" si="0"/>
        <v>-2</v>
      </c>
      <c r="BX28" s="15">
        <f t="shared" si="3"/>
        <v>0</v>
      </c>
      <c r="BY28">
        <f t="shared" si="2"/>
        <v>0</v>
      </c>
    </row>
    <row r="29" spans="1:77" x14ac:dyDescent="0.25">
      <c r="A29" t="s">
        <v>310</v>
      </c>
      <c r="B29" s="1" t="s">
        <v>65</v>
      </c>
      <c r="C29" s="14">
        <v>2</v>
      </c>
      <c r="D29" t="s">
        <v>101</v>
      </c>
      <c r="E29" s="14">
        <v>1</v>
      </c>
      <c r="F29" s="1" t="s">
        <v>253</v>
      </c>
      <c r="G29" s="1" t="s">
        <v>165</v>
      </c>
      <c r="H29" s="14">
        <v>2</v>
      </c>
      <c r="I29" s="1" t="s">
        <v>236</v>
      </c>
      <c r="J29" s="14">
        <v>2</v>
      </c>
      <c r="L29" s="1" t="s">
        <v>71</v>
      </c>
      <c r="M29" s="2" t="s">
        <v>155</v>
      </c>
      <c r="N29" s="2" t="s">
        <v>73</v>
      </c>
      <c r="O29" s="2" t="s">
        <v>74</v>
      </c>
      <c r="P29" s="2" t="s">
        <v>186</v>
      </c>
      <c r="Q29" s="2" t="s">
        <v>76</v>
      </c>
      <c r="R29" s="2" t="s">
        <v>77</v>
      </c>
      <c r="S29" s="2" t="s">
        <v>78</v>
      </c>
      <c r="T29" s="2" t="s">
        <v>131</v>
      </c>
      <c r="U29" s="2" t="s">
        <v>132</v>
      </c>
      <c r="V29" s="2" t="s">
        <v>112</v>
      </c>
      <c r="W29" s="15">
        <v>2</v>
      </c>
      <c r="X29" s="1" t="s">
        <v>311</v>
      </c>
      <c r="Y29" s="14">
        <v>3</v>
      </c>
      <c r="Z29" s="1" t="s">
        <v>264</v>
      </c>
      <c r="AA29" s="1" t="s">
        <v>84</v>
      </c>
      <c r="AB29" s="14">
        <v>2</v>
      </c>
      <c r="AC29" s="1" t="s">
        <v>135</v>
      </c>
      <c r="AD29" s="14">
        <v>3</v>
      </c>
      <c r="AE29" s="1" t="s">
        <v>86</v>
      </c>
      <c r="AF29" s="14">
        <v>3</v>
      </c>
      <c r="AH29" s="1" t="s">
        <v>72</v>
      </c>
      <c r="AI29" s="1" t="s">
        <v>88</v>
      </c>
      <c r="AJ29" s="1" t="s">
        <v>89</v>
      </c>
      <c r="AK29" s="1" t="s">
        <v>90</v>
      </c>
      <c r="AL29" s="1" t="s">
        <v>256</v>
      </c>
      <c r="AM29" s="1" t="s">
        <v>169</v>
      </c>
      <c r="AN29" s="1" t="s">
        <v>92</v>
      </c>
      <c r="AO29" s="1" t="s">
        <v>171</v>
      </c>
      <c r="AP29" s="1" t="s">
        <v>121</v>
      </c>
      <c r="AQ29" s="1" t="s">
        <v>95</v>
      </c>
      <c r="AR29">
        <v>9</v>
      </c>
      <c r="AS29" s="1">
        <v>7</v>
      </c>
      <c r="AT29" s="1">
        <v>8</v>
      </c>
      <c r="AU29" s="1">
        <v>6</v>
      </c>
      <c r="AV29" s="1">
        <v>5</v>
      </c>
      <c r="AW29" s="1">
        <v>6</v>
      </c>
      <c r="AX29" s="1">
        <v>7</v>
      </c>
      <c r="AY29" s="1">
        <v>7</v>
      </c>
      <c r="AZ29" s="1">
        <v>7</v>
      </c>
      <c r="BA29" s="1">
        <v>6</v>
      </c>
      <c r="BB29" s="1">
        <v>6</v>
      </c>
      <c r="BC29" s="1">
        <v>7</v>
      </c>
      <c r="BD29" s="1">
        <v>6</v>
      </c>
      <c r="BE29" s="1">
        <v>6</v>
      </c>
      <c r="BF29" s="1">
        <v>7</v>
      </c>
      <c r="BG29" s="1">
        <v>4</v>
      </c>
      <c r="BH29" s="1" t="s">
        <v>312</v>
      </c>
      <c r="BI29" s="1" t="s">
        <v>313</v>
      </c>
      <c r="BJ29" s="1" t="s">
        <v>314</v>
      </c>
      <c r="BK29" s="15">
        <v>2</v>
      </c>
      <c r="BL29">
        <v>34</v>
      </c>
      <c r="BM29">
        <v>28</v>
      </c>
      <c r="BN29">
        <v>30</v>
      </c>
      <c r="BO29">
        <v>40</v>
      </c>
      <c r="BP29">
        <v>31</v>
      </c>
      <c r="BQ29">
        <v>0</v>
      </c>
      <c r="BR29">
        <v>17</v>
      </c>
      <c r="BS29">
        <v>13</v>
      </c>
      <c r="BT29">
        <v>4</v>
      </c>
      <c r="BU29">
        <v>76.739999999999995</v>
      </c>
      <c r="BV29">
        <v>13931</v>
      </c>
      <c r="BW29" s="15">
        <f t="shared" si="0"/>
        <v>7</v>
      </c>
      <c r="BX29" s="15">
        <f t="shared" si="3"/>
        <v>1</v>
      </c>
      <c r="BY29">
        <f t="shared" si="2"/>
        <v>1</v>
      </c>
    </row>
    <row r="30" spans="1:77" x14ac:dyDescent="0.25">
      <c r="A30" t="s">
        <v>315</v>
      </c>
      <c r="B30" s="1" t="s">
        <v>65</v>
      </c>
      <c r="C30" s="14">
        <v>2</v>
      </c>
      <c r="D30" s="1" t="s">
        <v>66</v>
      </c>
      <c r="E30" s="14">
        <v>2</v>
      </c>
      <c r="F30" s="1" t="s">
        <v>253</v>
      </c>
      <c r="G30" s="1" t="s">
        <v>165</v>
      </c>
      <c r="H30" s="14">
        <v>2</v>
      </c>
      <c r="I30" s="1" t="s">
        <v>236</v>
      </c>
      <c r="J30" s="14">
        <v>2</v>
      </c>
      <c r="L30" s="1" t="s">
        <v>316</v>
      </c>
      <c r="M30" s="1" t="s">
        <v>72</v>
      </c>
      <c r="N30" s="1" t="s">
        <v>73</v>
      </c>
      <c r="O30" s="1" t="s">
        <v>202</v>
      </c>
      <c r="P30" s="1" t="s">
        <v>75</v>
      </c>
      <c r="Q30" s="1" t="s">
        <v>76</v>
      </c>
      <c r="R30" s="1" t="s">
        <v>77</v>
      </c>
      <c r="S30" s="1" t="s">
        <v>78</v>
      </c>
      <c r="T30" s="1" t="s">
        <v>131</v>
      </c>
      <c r="U30" s="1" t="s">
        <v>132</v>
      </c>
      <c r="V30" s="1" t="s">
        <v>81</v>
      </c>
      <c r="W30" s="15">
        <v>5</v>
      </c>
      <c r="X30" s="2" t="s">
        <v>134</v>
      </c>
      <c r="Y30" s="14">
        <v>2</v>
      </c>
      <c r="Z30" s="1" t="s">
        <v>264</v>
      </c>
      <c r="AA30" s="1" t="s">
        <v>84</v>
      </c>
      <c r="AB30" s="14">
        <v>2</v>
      </c>
      <c r="AC30" s="1" t="s">
        <v>85</v>
      </c>
      <c r="AD30" s="14">
        <v>2</v>
      </c>
      <c r="AE30" s="1" t="s">
        <v>86</v>
      </c>
      <c r="AF30" s="14">
        <v>3</v>
      </c>
      <c r="AG30" t="s">
        <v>71</v>
      </c>
      <c r="AH30" s="2" t="s">
        <v>72</v>
      </c>
      <c r="AI30" s="2" t="s">
        <v>88</v>
      </c>
      <c r="AJ30" s="2" t="s">
        <v>89</v>
      </c>
      <c r="AK30" s="2" t="s">
        <v>90</v>
      </c>
      <c r="AL30" s="2" t="s">
        <v>256</v>
      </c>
      <c r="AM30" s="2" t="s">
        <v>91</v>
      </c>
      <c r="AN30" s="2" t="s">
        <v>92</v>
      </c>
      <c r="AO30" s="2" t="s">
        <v>171</v>
      </c>
      <c r="AP30" s="2" t="s">
        <v>94</v>
      </c>
      <c r="AQ30" s="2" t="s">
        <v>95</v>
      </c>
      <c r="AR30">
        <v>10</v>
      </c>
      <c r="AS30" s="2">
        <v>8</v>
      </c>
      <c r="AT30" s="2">
        <v>8</v>
      </c>
      <c r="AU30" s="2">
        <v>7</v>
      </c>
      <c r="AV30" s="2">
        <v>7</v>
      </c>
      <c r="AW30" s="2">
        <v>7</v>
      </c>
      <c r="AX30" s="2">
        <v>8</v>
      </c>
      <c r="AY30" s="2">
        <v>8</v>
      </c>
      <c r="AZ30" s="2">
        <v>8</v>
      </c>
      <c r="BA30" s="2">
        <v>7</v>
      </c>
      <c r="BB30" s="2">
        <v>7</v>
      </c>
      <c r="BC30" s="2">
        <v>8</v>
      </c>
      <c r="BD30" s="2">
        <v>8</v>
      </c>
      <c r="BE30" s="2">
        <v>8</v>
      </c>
      <c r="BF30" s="2">
        <v>9</v>
      </c>
      <c r="BG30" s="2">
        <v>7</v>
      </c>
      <c r="BH30" s="2" t="s">
        <v>313</v>
      </c>
      <c r="BI30" s="2" t="s">
        <v>313</v>
      </c>
      <c r="BJ30" s="2" t="s">
        <v>317</v>
      </c>
      <c r="BK30" s="15">
        <v>2</v>
      </c>
      <c r="BL30">
        <v>35</v>
      </c>
      <c r="BM30">
        <v>35</v>
      </c>
      <c r="BN30">
        <v>0</v>
      </c>
      <c r="BO30">
        <v>5</v>
      </c>
      <c r="BP30">
        <v>29</v>
      </c>
      <c r="BQ30">
        <v>0</v>
      </c>
      <c r="BR30">
        <v>24</v>
      </c>
      <c r="BS30">
        <v>18</v>
      </c>
      <c r="BT30">
        <v>6</v>
      </c>
      <c r="BU30">
        <v>75</v>
      </c>
      <c r="BV30">
        <v>13813</v>
      </c>
      <c r="BW30" s="15">
        <f t="shared" si="0"/>
        <v>5</v>
      </c>
      <c r="BX30" s="15">
        <f t="shared" si="3"/>
        <v>0</v>
      </c>
      <c r="BY30">
        <f t="shared" si="2"/>
        <v>0</v>
      </c>
    </row>
    <row r="31" spans="1:77" x14ac:dyDescent="0.25">
      <c r="A31" t="s">
        <v>319</v>
      </c>
      <c r="B31" s="2" t="s">
        <v>100</v>
      </c>
      <c r="C31" s="14">
        <v>1</v>
      </c>
      <c r="D31" s="2" t="s">
        <v>101</v>
      </c>
      <c r="E31" s="14">
        <v>1</v>
      </c>
      <c r="F31" s="1" t="s">
        <v>253</v>
      </c>
      <c r="G31" s="1" t="s">
        <v>103</v>
      </c>
      <c r="H31" s="14">
        <v>1</v>
      </c>
      <c r="I31" t="s">
        <v>126</v>
      </c>
      <c r="J31" s="14">
        <v>1</v>
      </c>
      <c r="K31" s="2" t="s">
        <v>320</v>
      </c>
      <c r="L31" s="1" t="s">
        <v>321</v>
      </c>
      <c r="M31" s="2" t="s">
        <v>155</v>
      </c>
      <c r="N31" s="2" t="s">
        <v>73</v>
      </c>
      <c r="O31" s="2" t="s">
        <v>202</v>
      </c>
      <c r="P31" s="2" t="s">
        <v>75</v>
      </c>
      <c r="Q31" s="2" t="s">
        <v>76</v>
      </c>
      <c r="R31" s="2" t="s">
        <v>77</v>
      </c>
      <c r="S31" s="2" t="s">
        <v>78</v>
      </c>
      <c r="T31" s="2" t="s">
        <v>131</v>
      </c>
      <c r="U31" s="2" t="s">
        <v>111</v>
      </c>
      <c r="V31" s="2" t="s">
        <v>144</v>
      </c>
      <c r="W31" s="15">
        <v>3</v>
      </c>
      <c r="X31" s="1" t="s">
        <v>187</v>
      </c>
      <c r="Y31" s="14">
        <v>1</v>
      </c>
      <c r="Z31" s="1" t="s">
        <v>264</v>
      </c>
      <c r="AA31" s="2" t="s">
        <v>114</v>
      </c>
      <c r="AB31" s="14">
        <v>2</v>
      </c>
      <c r="AC31" s="1" t="s">
        <v>85</v>
      </c>
      <c r="AD31" s="14">
        <v>2</v>
      </c>
      <c r="AE31" s="1" t="s">
        <v>86</v>
      </c>
      <c r="AF31" s="14">
        <v>3</v>
      </c>
      <c r="AG31" s="1" t="s">
        <v>322</v>
      </c>
      <c r="AH31" s="1" t="s">
        <v>72</v>
      </c>
      <c r="AI31" s="1" t="s">
        <v>88</v>
      </c>
      <c r="AJ31" s="1" t="s">
        <v>146</v>
      </c>
      <c r="AK31" s="1" t="s">
        <v>304</v>
      </c>
      <c r="AL31" s="1" t="s">
        <v>256</v>
      </c>
      <c r="AM31" s="1" t="s">
        <v>138</v>
      </c>
      <c r="AN31" s="1" t="s">
        <v>170</v>
      </c>
      <c r="AO31" s="1" t="s">
        <v>120</v>
      </c>
      <c r="AP31" s="1" t="s">
        <v>121</v>
      </c>
      <c r="AQ31" s="1" t="s">
        <v>218</v>
      </c>
      <c r="AR31">
        <v>3</v>
      </c>
      <c r="AS31" s="1">
        <v>4</v>
      </c>
      <c r="AT31" s="1">
        <v>4</v>
      </c>
      <c r="AU31" s="1">
        <v>4</v>
      </c>
      <c r="AV31" s="1">
        <v>2</v>
      </c>
      <c r="AW31" s="1">
        <v>2</v>
      </c>
      <c r="AX31" s="1">
        <v>2</v>
      </c>
      <c r="AY31" s="1">
        <v>3</v>
      </c>
      <c r="AZ31" s="1">
        <v>2</v>
      </c>
      <c r="BA31" s="1">
        <v>2</v>
      </c>
      <c r="BB31" s="1">
        <v>2</v>
      </c>
      <c r="BC31" s="1">
        <v>1</v>
      </c>
      <c r="BD31" s="1">
        <v>6</v>
      </c>
      <c r="BE31" s="1">
        <v>3</v>
      </c>
      <c r="BF31" s="1">
        <v>4</v>
      </c>
      <c r="BG31" s="1">
        <v>2</v>
      </c>
      <c r="BH31" s="1" t="s">
        <v>323</v>
      </c>
      <c r="BI31" s="1" t="s">
        <v>151</v>
      </c>
      <c r="BJ31" s="1" t="s">
        <v>71</v>
      </c>
      <c r="BK31" s="15">
        <v>3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30</v>
      </c>
      <c r="BS31">
        <v>9</v>
      </c>
      <c r="BT31">
        <v>21</v>
      </c>
      <c r="BU31">
        <v>30</v>
      </c>
      <c r="BV31">
        <v>20033</v>
      </c>
      <c r="BW31" s="15">
        <f t="shared" si="0"/>
        <v>0</v>
      </c>
      <c r="BX31" s="15">
        <f t="shared" si="3"/>
        <v>0</v>
      </c>
      <c r="BY31">
        <f t="shared" si="2"/>
        <v>1</v>
      </c>
    </row>
    <row r="32" spans="1:77" x14ac:dyDescent="0.25">
      <c r="A32" t="s">
        <v>324</v>
      </c>
      <c r="B32" s="1" t="s">
        <v>65</v>
      </c>
      <c r="C32" s="14">
        <v>2</v>
      </c>
      <c r="D32" s="1" t="s">
        <v>101</v>
      </c>
      <c r="E32" s="14">
        <v>1</v>
      </c>
      <c r="F32" s="1" t="s">
        <v>253</v>
      </c>
      <c r="G32" s="1" t="s">
        <v>165</v>
      </c>
      <c r="H32" s="14">
        <v>2</v>
      </c>
      <c r="I32" s="1" t="s">
        <v>236</v>
      </c>
      <c r="J32" s="14">
        <v>2</v>
      </c>
      <c r="K32" s="1" t="s">
        <v>71</v>
      </c>
      <c r="L32" s="1" t="s">
        <v>71</v>
      </c>
      <c r="M32" s="1" t="s">
        <v>72</v>
      </c>
      <c r="N32" s="1" t="s">
        <v>73</v>
      </c>
      <c r="O32" s="1" t="s">
        <v>177</v>
      </c>
      <c r="P32" s="1" t="s">
        <v>75</v>
      </c>
      <c r="Q32" s="1" t="s">
        <v>76</v>
      </c>
      <c r="R32" s="1" t="s">
        <v>77</v>
      </c>
      <c r="S32" s="1" t="s">
        <v>78</v>
      </c>
      <c r="T32" s="1" t="s">
        <v>79</v>
      </c>
      <c r="U32" s="1" t="s">
        <v>80</v>
      </c>
      <c r="V32" s="1" t="s">
        <v>133</v>
      </c>
      <c r="W32" s="15">
        <v>5</v>
      </c>
      <c r="X32" s="1" t="s">
        <v>187</v>
      </c>
      <c r="Y32" s="14">
        <v>1</v>
      </c>
      <c r="Z32" s="1" t="s">
        <v>264</v>
      </c>
      <c r="AA32" s="2" t="s">
        <v>114</v>
      </c>
      <c r="AB32" s="14">
        <v>2</v>
      </c>
      <c r="AC32" s="1" t="s">
        <v>85</v>
      </c>
      <c r="AD32" s="14">
        <v>2</v>
      </c>
      <c r="AE32" s="1" t="s">
        <v>86</v>
      </c>
      <c r="AG32" s="2" t="s">
        <v>325</v>
      </c>
      <c r="AH32" s="2" t="s">
        <v>72</v>
      </c>
      <c r="AI32" s="2" t="s">
        <v>88</v>
      </c>
      <c r="AJ32" s="2" t="s">
        <v>146</v>
      </c>
      <c r="AK32" s="2" t="s">
        <v>90</v>
      </c>
      <c r="AL32" s="2" t="s">
        <v>305</v>
      </c>
      <c r="AM32" s="2" t="s">
        <v>91</v>
      </c>
      <c r="AN32" s="2" t="s">
        <v>78</v>
      </c>
      <c r="AO32" s="2" t="s">
        <v>120</v>
      </c>
      <c r="AP32" s="2" t="s">
        <v>149</v>
      </c>
      <c r="AQ32" s="2" t="s">
        <v>159</v>
      </c>
      <c r="AR32">
        <v>3</v>
      </c>
      <c r="AS32" s="2">
        <v>6</v>
      </c>
      <c r="AT32" s="2">
        <v>6</v>
      </c>
      <c r="AU32" s="2">
        <v>3</v>
      </c>
      <c r="AV32" s="2">
        <v>5</v>
      </c>
      <c r="AW32" s="2">
        <v>3</v>
      </c>
      <c r="AX32" s="2">
        <v>1</v>
      </c>
      <c r="AY32" s="2">
        <v>4</v>
      </c>
      <c r="AZ32" s="2">
        <v>3</v>
      </c>
      <c r="BA32" s="2">
        <v>5</v>
      </c>
      <c r="BB32" s="2">
        <v>5</v>
      </c>
      <c r="BC32" s="2">
        <v>3</v>
      </c>
      <c r="BD32" s="2">
        <v>7</v>
      </c>
      <c r="BE32" s="2">
        <v>4</v>
      </c>
      <c r="BF32" s="2">
        <v>4</v>
      </c>
      <c r="BG32" s="2">
        <v>4</v>
      </c>
      <c r="BH32" s="2" t="s">
        <v>326</v>
      </c>
      <c r="BI32" s="2" t="s">
        <v>327</v>
      </c>
      <c r="BJ32" s="2" t="s">
        <v>328</v>
      </c>
      <c r="BK32" s="15">
        <v>3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30</v>
      </c>
      <c r="BS32">
        <v>16</v>
      </c>
      <c r="BT32">
        <v>14</v>
      </c>
      <c r="BU32">
        <v>53.33</v>
      </c>
      <c r="BV32">
        <v>20046</v>
      </c>
      <c r="BW32" s="15">
        <f t="shared" si="0"/>
        <v>-2</v>
      </c>
      <c r="BX32" s="15">
        <f t="shared" si="3"/>
        <v>-1</v>
      </c>
      <c r="BY32">
        <f t="shared" si="2"/>
        <v>1</v>
      </c>
    </row>
    <row r="34" spans="2:3" x14ac:dyDescent="0.25">
      <c r="B34" s="8" t="s">
        <v>267</v>
      </c>
      <c r="C34" s="18"/>
    </row>
    <row r="35" spans="2:3" x14ac:dyDescent="0.25">
      <c r="B35" s="9" t="s">
        <v>268</v>
      </c>
      <c r="C35" s="9"/>
    </row>
    <row r="36" spans="2:3" x14ac:dyDescent="0.25">
      <c r="B36" s="10" t="s">
        <v>269</v>
      </c>
      <c r="C36" s="10"/>
    </row>
    <row r="37" spans="2:3" x14ac:dyDescent="0.25">
      <c r="B37" s="12" t="s">
        <v>270</v>
      </c>
      <c r="C37" s="12"/>
    </row>
  </sheetData>
  <mergeCells count="13">
    <mergeCell ref="B1:W1"/>
    <mergeCell ref="X1:AR1"/>
    <mergeCell ref="AS1:BJ1"/>
    <mergeCell ref="B2:L2"/>
    <mergeCell ref="M2:W2"/>
    <mergeCell ref="X2:AG2"/>
    <mergeCell ref="AH2:AR2"/>
    <mergeCell ref="AS2:AU2"/>
    <mergeCell ref="AV2:AX2"/>
    <mergeCell ref="AY2:BA2"/>
    <mergeCell ref="BB2:BD2"/>
    <mergeCell ref="BE2:BG2"/>
    <mergeCell ref="BH2:BJ2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MACDONALD, SHAUN (UG)</cp:lastModifiedBy>
  <dcterms:created xsi:type="dcterms:W3CDTF">2025-04-21T22:26:33Z</dcterms:created>
  <dcterms:modified xsi:type="dcterms:W3CDTF">2025-05-02T08:22:53Z</dcterms:modified>
</cp:coreProperties>
</file>